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wsdot-my.sharepoint.com/personal/isond_wsdot_wa_gov/Documents/Documents/"/>
    </mc:Choice>
  </mc:AlternateContent>
  <xr:revisionPtr revIDLastSave="0" documentId="13_ncr:201_{6B174FDC-2374-402B-90ED-BBA7A52CCAFA}" xr6:coauthVersionLast="47" xr6:coauthVersionMax="47" xr10:uidLastSave="{00000000-0000-0000-0000-000000000000}"/>
  <workbookProtection workbookAlgorithmName="SHA-512" workbookHashValue="f2nB06ShBa3zXWOJJjfNWKSuhIANicUgql5hxFT1hJ4pCRqGfYCpt7OuR/9mXmOvaYBXvJJeTX5XcnH6st1ZPg==" workbookSaltValue="m05bYZfXPg/pZLpd5iv7Tg==" workbookSpinCount="100000" lockStructure="1"/>
  <bookViews>
    <workbookView xWindow="19500" yWindow="1845" windowWidth="27765" windowHeight="17520" xr2:uid="{00000000-000D-0000-FFFF-FFFF00000000}"/>
  </bookViews>
  <sheets>
    <sheet name="133-103" sheetId="1" r:id="rId1"/>
    <sheet name="Day" sheetId="4" state="hidden" r:id="rId2"/>
    <sheet name="Mileage Rate" sheetId="2" r:id="rId3"/>
    <sheet name="POV" sheetId="3" state="hidden" r:id="rId4"/>
    <sheet name="DropDowns KH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0" i="1" l="1"/>
  <c r="P11" i="1"/>
  <c r="P12" i="1"/>
  <c r="G22" i="1"/>
  <c r="K40" i="1"/>
  <c r="P17" i="1"/>
  <c r="N13" i="1"/>
  <c r="P13" i="1" s="1"/>
  <c r="N14" i="1"/>
  <c r="P14" i="1" s="1"/>
  <c r="N15" i="1"/>
  <c r="P15" i="1" s="1"/>
  <c r="N16" i="1"/>
  <c r="P16" i="1" s="1"/>
  <c r="N17" i="1"/>
  <c r="N18" i="1"/>
  <c r="P18" i="1" s="1"/>
  <c r="N19" i="1"/>
  <c r="P19" i="1" s="1"/>
  <c r="N20" i="1"/>
  <c r="P20" i="1" s="1"/>
  <c r="N21" i="1"/>
  <c r="P77" i="1" l="1"/>
  <c r="N75" i="1"/>
  <c r="P75" i="1" s="1"/>
  <c r="N76" i="1"/>
  <c r="P76" i="1" s="1"/>
  <c r="N77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8" i="1"/>
  <c r="N79" i="1"/>
  <c r="N80" i="1"/>
  <c r="N81" i="1"/>
  <c r="N82" i="1"/>
  <c r="N83" i="1"/>
  <c r="N51" i="1"/>
  <c r="K41" i="1" l="1"/>
  <c r="Q41" i="1"/>
  <c r="O22" i="1"/>
  <c r="P21" i="1"/>
  <c r="J22" i="1"/>
  <c r="N22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8" i="1"/>
  <c r="P79" i="1"/>
  <c r="P80" i="1"/>
  <c r="P81" i="1"/>
  <c r="P82" i="1"/>
  <c r="P83" i="1"/>
  <c r="P51" i="1"/>
  <c r="J84" i="1"/>
  <c r="J23" i="1" s="1"/>
  <c r="O84" i="1"/>
  <c r="O23" i="1" s="1"/>
  <c r="G84" i="1"/>
  <c r="G23" i="1" s="1"/>
  <c r="O25" i="1" l="1"/>
  <c r="J25" i="1"/>
  <c r="G25" i="1"/>
  <c r="P84" i="1"/>
  <c r="P23" i="1" s="1"/>
  <c r="P22" i="1"/>
  <c r="N84" i="1"/>
  <c r="N23" i="1" s="1"/>
  <c r="N25" i="1" s="1"/>
  <c r="P25" i="1" l="1"/>
  <c r="P27" i="1" s="1"/>
</calcChain>
</file>

<file path=xl/sharedStrings.xml><?xml version="1.0" encoding="utf-8"?>
<sst xmlns="http://schemas.openxmlformats.org/spreadsheetml/2006/main" count="151" uniqueCount="102">
  <si>
    <t>Travel Expense Voucher</t>
  </si>
  <si>
    <t>Date Mo/Day</t>
  </si>
  <si>
    <t>Day</t>
  </si>
  <si>
    <t>From</t>
  </si>
  <si>
    <t>To</t>
  </si>
  <si>
    <t>Depart</t>
  </si>
  <si>
    <t>Return</t>
  </si>
  <si>
    <t>B</t>
  </si>
  <si>
    <t>L</t>
  </si>
  <si>
    <t>D</t>
  </si>
  <si>
    <t>Lodging</t>
  </si>
  <si>
    <t>Total Miles</t>
  </si>
  <si>
    <t>Mileage Rate</t>
  </si>
  <si>
    <t>POV Full Rate Reason</t>
  </si>
  <si>
    <t>Total Dollars</t>
  </si>
  <si>
    <t>Other Per Detail</t>
  </si>
  <si>
    <t>Total</t>
  </si>
  <si>
    <t>Purpose of Trip</t>
  </si>
  <si>
    <t>Meals</t>
  </si>
  <si>
    <t>Time</t>
  </si>
  <si>
    <t>Trip</t>
  </si>
  <si>
    <t>State</t>
  </si>
  <si>
    <t>Zip Code</t>
  </si>
  <si>
    <t>Name (Last, First, Initial)</t>
  </si>
  <si>
    <t>Employee ID Number</t>
  </si>
  <si>
    <t>Class Title</t>
  </si>
  <si>
    <t>Official Station</t>
  </si>
  <si>
    <t>Address</t>
  </si>
  <si>
    <t>City</t>
  </si>
  <si>
    <t>Official Residence</t>
  </si>
  <si>
    <t>Totals</t>
  </si>
  <si>
    <t>Totals from 2nd Page</t>
  </si>
  <si>
    <t>Totals both Pages</t>
  </si>
  <si>
    <t>Rates:</t>
  </si>
  <si>
    <t>Full Rate Justification Legend:</t>
  </si>
  <si>
    <t>A = No State Vehicle Available</t>
  </si>
  <si>
    <t>C = Vehicle Unacceptable</t>
  </si>
  <si>
    <t>Last Date (Month, Date, Year) Travel</t>
  </si>
  <si>
    <t xml:space="preserve">Net Total: </t>
  </si>
  <si>
    <t>Remarks</t>
  </si>
  <si>
    <t>Work OP</t>
  </si>
  <si>
    <t>Obj. Acct.</t>
  </si>
  <si>
    <t>Org. No.</t>
  </si>
  <si>
    <t>Cont Sec.</t>
  </si>
  <si>
    <t>Bal Sheet</t>
  </si>
  <si>
    <t>Non-Part.</t>
  </si>
  <si>
    <t>Amount</t>
  </si>
  <si>
    <t>Date</t>
  </si>
  <si>
    <t>Paid To</t>
  </si>
  <si>
    <t>For</t>
  </si>
  <si>
    <t>Account Code</t>
  </si>
  <si>
    <t>Detail of Other Expense</t>
  </si>
  <si>
    <t>I hereby certify under penalty of perjury that this is a true and accurate claim for necessary expenses incurred by me and that no payment has been received by me on account thereof.</t>
  </si>
  <si>
    <t>I certify that travel was authorized in advance and payment is approved.</t>
  </si>
  <si>
    <t>Checked for Coding By</t>
  </si>
  <si>
    <t>Employee ID</t>
  </si>
  <si>
    <t>Last Date (Month, Day, Year) Travel</t>
  </si>
  <si>
    <t>Total this Page</t>
  </si>
  <si>
    <t>Approved for Payment By</t>
  </si>
  <si>
    <t>Rate</t>
  </si>
  <si>
    <t>A - Not State Vehicle Available</t>
  </si>
  <si>
    <t>B - ADA Reasonable Accommodation</t>
  </si>
  <si>
    <t>C - Vehcile Unacceptable</t>
  </si>
  <si>
    <t>D - Other - Provide Explanation</t>
  </si>
  <si>
    <t>M</t>
  </si>
  <si>
    <t>T</t>
  </si>
  <si>
    <t>W</t>
  </si>
  <si>
    <t>Th</t>
  </si>
  <si>
    <t>F</t>
  </si>
  <si>
    <t>S</t>
  </si>
  <si>
    <t>Su</t>
  </si>
  <si>
    <t>POV</t>
  </si>
  <si>
    <t>Less Travel Advance:</t>
  </si>
  <si>
    <t>D = Other (Explain)</t>
  </si>
  <si>
    <t>Wrk Ord</t>
  </si>
  <si>
    <t>Grp</t>
  </si>
  <si>
    <t>POV Full
 Rate Reason</t>
  </si>
  <si>
    <t>B = ADA Reasonable Accom</t>
  </si>
  <si>
    <r>
      <t xml:space="preserve">Regular Work </t>
    </r>
    <r>
      <rPr>
        <b/>
        <u/>
        <sz val="8"/>
        <color theme="1"/>
        <rFont val="Arial"/>
        <family val="2"/>
      </rPr>
      <t>Hours - Days</t>
    </r>
    <r>
      <rPr>
        <b/>
        <sz val="8"/>
        <color theme="1"/>
        <rFont val="Arial"/>
        <family val="2"/>
      </rPr>
      <t xml:space="preserve">  </t>
    </r>
    <r>
      <rPr>
        <sz val="8"/>
        <color theme="1"/>
        <rFont val="Arial"/>
        <family val="2"/>
      </rPr>
      <t xml:space="preserve"> (Not Schedule #)</t>
    </r>
  </si>
  <si>
    <t>A</t>
  </si>
  <si>
    <t>C</t>
  </si>
  <si>
    <t>Signature of Approving Authority:</t>
  </si>
  <si>
    <t>Date:</t>
  </si>
  <si>
    <t>Signature:</t>
  </si>
  <si>
    <t>$0.22 = Elective POV rate</t>
  </si>
  <si>
    <t>$0.655 = Full POV rate</t>
  </si>
  <si>
    <t>$0.635 = Motorcycle rate</t>
  </si>
  <si>
    <t>$1.74 = Aircraft rate (statute mile)</t>
  </si>
  <si>
    <t>Ison, David, C</t>
  </si>
  <si>
    <t>2763 NW 32nd Ave</t>
  </si>
  <si>
    <t>Camas</t>
  </si>
  <si>
    <t>WA</t>
  </si>
  <si>
    <t>Lynnwood</t>
  </si>
  <si>
    <t>PNAA Conference</t>
  </si>
  <si>
    <t>8am-5pm M-F</t>
  </si>
  <si>
    <t>TPS-4</t>
  </si>
  <si>
    <t>TUMWATER</t>
  </si>
  <si>
    <t>Tumwater</t>
  </si>
  <si>
    <t>AD0561</t>
  </si>
  <si>
    <t>GA01</t>
  </si>
  <si>
    <t>Used state car; Hotel paid by travel card; Breakfast provided 2/8 &amp; 2/9 by PNAA; Lunch 2/8 provided by PNAA</t>
  </si>
  <si>
    <t>Date: 2/16/2023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</si>
</sst>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m/d/yy;@"/>
    <numFmt numFmtId="165" formatCode="[$-409]h:mm\ AM/PM;@"/>
    <numFmt numFmtId="166" formatCode="mm/dd/yy;@"/>
    <numFmt numFmtId="167" formatCode="0000"/>
    <numFmt numFmtId="168" formatCode="000000"/>
    <numFmt numFmtId="169" formatCode="00"/>
    <numFmt numFmtId="170" formatCode="m/d;@"/>
    <numFmt numFmtId="171" formatCode="00000000"/>
    <numFmt numFmtId="172" formatCode="00000"/>
    <numFmt numFmtId="173" formatCode="0.000"/>
  </numFmts>
  <fonts count="9" x14ac:knownFonts="1"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auto="1"/>
      </bottom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 style="thin">
        <color auto="1"/>
      </bottom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64">
    <xf numFmtId="0" fontId="0" fillId="0" borderId="0" xfId="0"/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top"/>
    </xf>
    <xf numFmtId="0" fontId="0" fillId="0" borderId="0" xfId="0" applyBorder="1" applyAlignment="1"/>
    <xf numFmtId="0" fontId="0" fillId="0" borderId="0" xfId="0" applyFill="1" applyBorder="1" applyAlignment="1">
      <alignment horizontal="left"/>
    </xf>
    <xf numFmtId="44" fontId="0" fillId="0" borderId="0" xfId="1" applyFont="1"/>
    <xf numFmtId="0" fontId="0" fillId="0" borderId="0" xfId="0" applyFill="1" applyBorder="1"/>
    <xf numFmtId="0" fontId="0" fillId="0" borderId="13" xfId="0" applyBorder="1" applyAlignment="1"/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5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48" xfId="0" applyBorder="1" applyProtection="1">
      <protection locked="0"/>
    </xf>
    <xf numFmtId="0" fontId="0" fillId="0" borderId="15" xfId="0" applyBorder="1" applyAlignment="1" applyProtection="1">
      <alignment horizontal="left"/>
      <protection locked="0"/>
    </xf>
    <xf numFmtId="0" fontId="0" fillId="0" borderId="44" xfId="0" applyFill="1" applyBorder="1" applyAlignment="1" applyProtection="1">
      <alignment horizontal="left"/>
      <protection locked="0"/>
    </xf>
    <xf numFmtId="0" fontId="0" fillId="0" borderId="39" xfId="0" applyFill="1" applyBorder="1" applyAlignment="1" applyProtection="1">
      <alignment horizontal="left"/>
      <protection locked="0"/>
    </xf>
    <xf numFmtId="0" fontId="0" fillId="0" borderId="48" xfId="0" applyFill="1" applyBorder="1" applyAlignment="1" applyProtection="1">
      <alignment horizontal="left"/>
      <protection locked="0"/>
    </xf>
    <xf numFmtId="2" fontId="0" fillId="0" borderId="40" xfId="0" applyNumberFormat="1" applyFill="1" applyBorder="1" applyAlignment="1" applyProtection="1">
      <alignment horizontal="right"/>
    </xf>
    <xf numFmtId="0" fontId="0" fillId="0" borderId="26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30" xfId="0" applyBorder="1" applyAlignment="1" applyProtection="1">
      <protection locked="0"/>
    </xf>
    <xf numFmtId="167" fontId="0" fillId="0" borderId="39" xfId="0" applyNumberFormat="1" applyFill="1" applyBorder="1" applyAlignment="1" applyProtection="1">
      <alignment horizontal="left"/>
      <protection locked="0"/>
    </xf>
    <xf numFmtId="168" fontId="0" fillId="0" borderId="49" xfId="0" applyNumberFormat="1" applyFill="1" applyBorder="1" applyAlignment="1" applyProtection="1">
      <alignment horizontal="left"/>
      <protection locked="0"/>
    </xf>
    <xf numFmtId="168" fontId="0" fillId="0" borderId="41" xfId="0" applyNumberFormat="1" applyFill="1" applyBorder="1" applyAlignment="1" applyProtection="1">
      <alignment horizontal="left"/>
      <protection locked="0"/>
    </xf>
    <xf numFmtId="169" fontId="0" fillId="0" borderId="44" xfId="0" applyNumberFormat="1" applyFill="1" applyBorder="1" applyAlignment="1" applyProtection="1">
      <alignment horizontal="left"/>
      <protection locked="0"/>
    </xf>
    <xf numFmtId="169" fontId="0" fillId="0" borderId="48" xfId="0" applyNumberFormat="1" applyFill="1" applyBorder="1" applyAlignment="1" applyProtection="1">
      <alignment horizontal="left"/>
      <protection locked="0"/>
    </xf>
    <xf numFmtId="168" fontId="0" fillId="0" borderId="44" xfId="0" applyNumberFormat="1" applyFill="1" applyBorder="1" applyAlignment="1" applyProtection="1">
      <alignment horizontal="left"/>
      <protection locked="0"/>
    </xf>
    <xf numFmtId="168" fontId="0" fillId="0" borderId="48" xfId="0" applyNumberFormat="1" applyFill="1" applyBorder="1" applyAlignment="1" applyProtection="1">
      <alignment horizontal="left"/>
      <protection locked="0"/>
    </xf>
    <xf numFmtId="2" fontId="0" fillId="0" borderId="48" xfId="0" applyNumberFormat="1" applyFill="1" applyBorder="1" applyAlignment="1" applyProtection="1">
      <alignment horizontal="right"/>
      <protection locked="0"/>
    </xf>
    <xf numFmtId="2" fontId="0" fillId="0" borderId="47" xfId="0" applyNumberFormat="1" applyFill="1" applyBorder="1" applyAlignment="1" applyProtection="1">
      <alignment horizontal="right"/>
      <protection locked="0"/>
    </xf>
    <xf numFmtId="167" fontId="0" fillId="0" borderId="44" xfId="0" applyNumberFormat="1" applyFill="1" applyBorder="1" applyAlignment="1" applyProtection="1">
      <alignment horizontal="left"/>
      <protection locked="0"/>
    </xf>
    <xf numFmtId="0" fontId="0" fillId="0" borderId="0" xfId="0" applyBorder="1" applyAlignment="1">
      <alignment horizontal="right"/>
    </xf>
    <xf numFmtId="2" fontId="0" fillId="0" borderId="44" xfId="0" applyNumberFormat="1" applyFill="1" applyBorder="1" applyAlignment="1" applyProtection="1">
      <alignment horizontal="right"/>
      <protection locked="0"/>
    </xf>
    <xf numFmtId="2" fontId="0" fillId="0" borderId="50" xfId="0" applyNumberFormat="1" applyFill="1" applyBorder="1" applyAlignment="1" applyProtection="1">
      <alignment horizontal="right"/>
      <protection locked="0"/>
    </xf>
    <xf numFmtId="167" fontId="0" fillId="0" borderId="48" xfId="0" applyNumberFormat="1" applyFill="1" applyBorder="1" applyAlignment="1" applyProtection="1">
      <alignment horizontal="left"/>
      <protection locked="0"/>
    </xf>
    <xf numFmtId="170" fontId="0" fillId="0" borderId="43" xfId="0" applyNumberFormat="1" applyBorder="1" applyAlignment="1" applyProtection="1">
      <alignment horizontal="left"/>
      <protection locked="0"/>
    </xf>
    <xf numFmtId="170" fontId="0" fillId="0" borderId="46" xfId="0" applyNumberFormat="1" applyBorder="1" applyAlignment="1" applyProtection="1">
      <alignment horizontal="left"/>
      <protection locked="0"/>
    </xf>
    <xf numFmtId="170" fontId="0" fillId="0" borderId="41" xfId="0" applyNumberFormat="1" applyBorder="1" applyAlignment="1" applyProtection="1">
      <alignment horizontal="left"/>
      <protection locked="0"/>
    </xf>
    <xf numFmtId="165" fontId="0" fillId="0" borderId="45" xfId="0" applyNumberFormat="1" applyBorder="1" applyAlignment="1" applyProtection="1">
      <alignment horizontal="left"/>
      <protection locked="0"/>
    </xf>
    <xf numFmtId="165" fontId="0" fillId="0" borderId="39" xfId="0" applyNumberFormat="1" applyBorder="1" applyAlignment="1" applyProtection="1">
      <alignment horizontal="left"/>
      <protection locked="0"/>
    </xf>
    <xf numFmtId="165" fontId="0" fillId="0" borderId="48" xfId="0" applyNumberFormat="1" applyBorder="1" applyAlignment="1" applyProtection="1">
      <alignment horizontal="left"/>
      <protection locked="0"/>
    </xf>
    <xf numFmtId="0" fontId="0" fillId="0" borderId="15" xfId="0" applyBorder="1" applyAlignment="1">
      <alignment horizontal="left"/>
    </xf>
    <xf numFmtId="170" fontId="0" fillId="0" borderId="49" xfId="0" applyNumberFormat="1" applyFill="1" applyBorder="1" applyAlignment="1" applyProtection="1">
      <alignment horizontal="left"/>
      <protection locked="0"/>
    </xf>
    <xf numFmtId="170" fontId="0" fillId="0" borderId="46" xfId="0" applyNumberFormat="1" applyFill="1" applyBorder="1" applyAlignment="1" applyProtection="1">
      <alignment horizontal="left"/>
      <protection locked="0"/>
    </xf>
    <xf numFmtId="170" fontId="0" fillId="0" borderId="41" xfId="0" applyNumberFormat="1" applyFill="1" applyBorder="1" applyAlignment="1" applyProtection="1">
      <alignment horizontal="left"/>
      <protection locked="0"/>
    </xf>
    <xf numFmtId="2" fontId="0" fillId="0" borderId="15" xfId="0" applyNumberFormat="1" applyFont="1" applyBorder="1" applyAlignment="1" applyProtection="1"/>
    <xf numFmtId="170" fontId="0" fillId="0" borderId="28" xfId="0" applyNumberFormat="1" applyBorder="1" applyAlignment="1" applyProtection="1">
      <alignment horizontal="left"/>
      <protection locked="0"/>
    </xf>
    <xf numFmtId="2" fontId="0" fillId="0" borderId="1" xfId="0" applyNumberFormat="1" applyBorder="1" applyAlignment="1" applyProtection="1"/>
    <xf numFmtId="2" fontId="0" fillId="0" borderId="45" xfId="0" applyNumberFormat="1" applyBorder="1" applyAlignment="1" applyProtection="1"/>
    <xf numFmtId="2" fontId="0" fillId="0" borderId="45" xfId="0" applyNumberFormat="1" applyBorder="1" applyAlignment="1" applyProtection="1">
      <protection locked="0"/>
    </xf>
    <xf numFmtId="2" fontId="0" fillId="0" borderId="39" xfId="0" applyNumberFormat="1" applyBorder="1" applyAlignment="1" applyProtection="1"/>
    <xf numFmtId="2" fontId="0" fillId="0" borderId="39" xfId="0" applyNumberFormat="1" applyBorder="1" applyAlignment="1" applyProtection="1">
      <protection locked="0"/>
    </xf>
    <xf numFmtId="2" fontId="0" fillId="0" borderId="48" xfId="0" applyNumberFormat="1" applyBorder="1" applyAlignment="1" applyProtection="1"/>
    <xf numFmtId="2" fontId="0" fillId="0" borderId="48" xfId="0" applyNumberFormat="1" applyBorder="1" applyAlignment="1" applyProtection="1">
      <protection locked="0"/>
    </xf>
    <xf numFmtId="2" fontId="0" fillId="0" borderId="1" xfId="0" applyNumberFormat="1" applyBorder="1" applyAlignment="1"/>
    <xf numFmtId="2" fontId="0" fillId="0" borderId="26" xfId="0" applyNumberFormat="1" applyBorder="1" applyAlignment="1">
      <alignment horizontal="right"/>
    </xf>
    <xf numFmtId="2" fontId="0" fillId="0" borderId="26" xfId="0" applyNumberFormat="1" applyBorder="1" applyAlignment="1" applyProtection="1">
      <alignment horizontal="right"/>
      <protection locked="0"/>
    </xf>
    <xf numFmtId="2" fontId="0" fillId="0" borderId="16" xfId="0" applyNumberFormat="1" applyBorder="1" applyAlignment="1">
      <alignment horizontal="right"/>
    </xf>
    <xf numFmtId="2" fontId="0" fillId="0" borderId="16" xfId="0" applyNumberFormat="1" applyBorder="1" applyAlignment="1" applyProtection="1">
      <alignment horizontal="right"/>
      <protection locked="0"/>
    </xf>
    <xf numFmtId="2" fontId="0" fillId="0" borderId="30" xfId="0" applyNumberFormat="1" applyBorder="1" applyAlignment="1">
      <alignment horizontal="right"/>
    </xf>
    <xf numFmtId="2" fontId="0" fillId="0" borderId="30" xfId="0" applyNumberFormat="1" applyBorder="1" applyAlignment="1" applyProtection="1">
      <alignment horizontal="right"/>
      <protection locked="0"/>
    </xf>
    <xf numFmtId="2" fontId="0" fillId="0" borderId="15" xfId="0" applyNumberFormat="1" applyBorder="1" applyAlignment="1">
      <alignment horizontal="right"/>
    </xf>
    <xf numFmtId="0" fontId="0" fillId="0" borderId="26" xfId="0" applyBorder="1" applyAlignment="1" applyProtection="1">
      <alignment horizontal="right"/>
      <protection locked="0"/>
    </xf>
    <xf numFmtId="0" fontId="0" fillId="0" borderId="16" xfId="0" applyBorder="1" applyAlignment="1" applyProtection="1">
      <alignment horizontal="right"/>
      <protection locked="0"/>
    </xf>
    <xf numFmtId="0" fontId="0" fillId="0" borderId="30" xfId="0" applyBorder="1" applyAlignment="1" applyProtection="1">
      <alignment horizontal="right"/>
      <protection locked="0"/>
    </xf>
    <xf numFmtId="0" fontId="0" fillId="0" borderId="45" xfId="0" applyBorder="1" applyAlignment="1" applyProtection="1">
      <alignment horizontal="right"/>
      <protection locked="0"/>
    </xf>
    <xf numFmtId="2" fontId="0" fillId="0" borderId="45" xfId="0" applyNumberFormat="1" applyBorder="1" applyAlignment="1" applyProtection="1">
      <alignment horizontal="right"/>
      <protection locked="0"/>
    </xf>
    <xf numFmtId="0" fontId="0" fillId="0" borderId="39" xfId="0" applyBorder="1" applyAlignment="1" applyProtection="1">
      <alignment horizontal="right"/>
      <protection locked="0"/>
    </xf>
    <xf numFmtId="2" fontId="0" fillId="0" borderId="39" xfId="0" applyNumberFormat="1" applyBorder="1" applyAlignment="1" applyProtection="1">
      <alignment horizontal="right"/>
      <protection locked="0"/>
    </xf>
    <xf numFmtId="0" fontId="0" fillId="0" borderId="48" xfId="0" applyBorder="1" applyAlignment="1" applyProtection="1">
      <alignment horizontal="right"/>
      <protection locked="0"/>
    </xf>
    <xf numFmtId="2" fontId="0" fillId="0" borderId="48" xfId="0" applyNumberFormat="1" applyBorder="1" applyAlignment="1" applyProtection="1">
      <alignment horizontal="right"/>
      <protection locked="0"/>
    </xf>
    <xf numFmtId="165" fontId="0" fillId="0" borderId="26" xfId="0" applyNumberFormat="1" applyBorder="1" applyAlignment="1" applyProtection="1">
      <alignment horizontal="left"/>
      <protection locked="0"/>
    </xf>
    <xf numFmtId="165" fontId="0" fillId="0" borderId="16" xfId="0" applyNumberFormat="1" applyBorder="1" applyAlignment="1" applyProtection="1">
      <alignment horizontal="left"/>
      <protection locked="0"/>
    </xf>
    <xf numFmtId="165" fontId="0" fillId="0" borderId="30" xfId="0" applyNumberFormat="1" applyBorder="1" applyAlignment="1" applyProtection="1">
      <alignment horizontal="left"/>
      <protection locked="0"/>
    </xf>
    <xf numFmtId="49" fontId="0" fillId="0" borderId="45" xfId="0" applyNumberFormat="1" applyBorder="1" applyAlignment="1" applyProtection="1">
      <alignment horizontal="left"/>
      <protection locked="0"/>
    </xf>
    <xf numFmtId="49" fontId="0" fillId="0" borderId="39" xfId="0" applyNumberFormat="1" applyBorder="1" applyAlignment="1" applyProtection="1">
      <alignment horizontal="left"/>
      <protection locked="0"/>
    </xf>
    <xf numFmtId="49" fontId="0" fillId="0" borderId="48" xfId="0" applyNumberFormat="1" applyBorder="1" applyAlignment="1" applyProtection="1">
      <alignment horizontal="left"/>
      <protection locked="0"/>
    </xf>
    <xf numFmtId="49" fontId="0" fillId="0" borderId="26" xfId="0" applyNumberFormat="1" applyBorder="1" applyAlignment="1" applyProtection="1">
      <alignment horizontal="left"/>
      <protection locked="0"/>
    </xf>
    <xf numFmtId="49" fontId="0" fillId="0" borderId="16" xfId="0" applyNumberFormat="1" applyBorder="1" applyAlignment="1" applyProtection="1">
      <alignment horizontal="left"/>
      <protection locked="0"/>
    </xf>
    <xf numFmtId="49" fontId="0" fillId="0" borderId="30" xfId="0" applyNumberFormat="1" applyBorder="1" applyAlignment="1" applyProtection="1">
      <alignment horizontal="left"/>
      <protection locked="0"/>
    </xf>
    <xf numFmtId="0" fontId="0" fillId="0" borderId="45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173" fontId="0" fillId="0" borderId="0" xfId="0" applyNumberFormat="1"/>
    <xf numFmtId="173" fontId="0" fillId="0" borderId="45" xfId="0" applyNumberFormat="1" applyBorder="1" applyProtection="1">
      <protection locked="0"/>
    </xf>
    <xf numFmtId="173" fontId="0" fillId="0" borderId="39" xfId="0" applyNumberFormat="1" applyBorder="1" applyProtection="1">
      <protection locked="0"/>
    </xf>
    <xf numFmtId="173" fontId="0" fillId="0" borderId="48" xfId="0" applyNumberFormat="1" applyBorder="1" applyProtection="1">
      <protection locked="0"/>
    </xf>
    <xf numFmtId="173" fontId="0" fillId="0" borderId="26" xfId="0" applyNumberFormat="1" applyBorder="1" applyAlignment="1" applyProtection="1">
      <protection locked="0"/>
    </xf>
    <xf numFmtId="173" fontId="0" fillId="0" borderId="16" xfId="0" applyNumberFormat="1" applyBorder="1" applyAlignment="1" applyProtection="1">
      <protection locked="0"/>
    </xf>
    <xf numFmtId="173" fontId="0" fillId="0" borderId="30" xfId="0" applyNumberFormat="1" applyBorder="1" applyAlignment="1" applyProtection="1">
      <protection locked="0"/>
    </xf>
    <xf numFmtId="0" fontId="0" fillId="0" borderId="7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6" fontId="0" fillId="0" borderId="6" xfId="0" applyNumberFormat="1" applyBorder="1" applyAlignment="1" applyProtection="1">
      <alignment horizontal="left"/>
      <protection locked="0"/>
    </xf>
    <xf numFmtId="166" fontId="0" fillId="0" borderId="2" xfId="0" applyNumberFormat="1" applyBorder="1" applyAlignment="1" applyProtection="1">
      <alignment horizontal="left"/>
      <protection locked="0"/>
    </xf>
    <xf numFmtId="166" fontId="0" fillId="0" borderId="7" xfId="0" applyNumberFormat="1" applyBorder="1" applyAlignment="1" applyProtection="1">
      <alignment horizontal="left"/>
      <protection locked="0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171" fontId="0" fillId="0" borderId="6" xfId="0" applyNumberFormat="1" applyBorder="1" applyAlignment="1" applyProtection="1">
      <alignment horizontal="left"/>
      <protection locked="0"/>
    </xf>
    <xf numFmtId="171" fontId="0" fillId="0" borderId="2" xfId="0" applyNumberFormat="1" applyBorder="1" applyAlignment="1" applyProtection="1">
      <alignment horizontal="left"/>
      <protection locked="0"/>
    </xf>
    <xf numFmtId="171" fontId="0" fillId="0" borderId="7" xfId="0" applyNumberFormat="1" applyBorder="1" applyAlignment="1" applyProtection="1">
      <alignment horizontal="left"/>
      <protection locked="0"/>
    </xf>
    <xf numFmtId="0" fontId="0" fillId="2" borderId="9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2" xfId="0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0" fontId="0" fillId="0" borderId="39" xfId="0" applyBorder="1" applyAlignment="1" applyProtection="1">
      <alignment horizontal="left"/>
      <protection locked="0"/>
    </xf>
    <xf numFmtId="0" fontId="0" fillId="0" borderId="47" xfId="0" applyBorder="1" applyAlignment="1" applyProtection="1">
      <alignment horizontal="left"/>
      <protection locked="0"/>
    </xf>
    <xf numFmtId="0" fontId="0" fillId="0" borderId="45" xfId="0" applyBorder="1" applyAlignment="1" applyProtection="1">
      <alignment horizontal="left"/>
      <protection locked="0"/>
    </xf>
    <xf numFmtId="0" fontId="0" fillId="0" borderId="42" xfId="0" applyBorder="1" applyAlignment="1" applyProtection="1">
      <alignment horizontal="left"/>
      <protection locked="0"/>
    </xf>
    <xf numFmtId="2" fontId="0" fillId="0" borderId="8" xfId="0" applyNumberFormat="1" applyBorder="1" applyAlignment="1" applyProtection="1"/>
    <xf numFmtId="2" fontId="0" fillId="0" borderId="9" xfId="0" applyNumberFormat="1" applyBorder="1" applyAlignment="1" applyProtection="1"/>
    <xf numFmtId="2" fontId="0" fillId="0" borderId="8" xfId="0" applyNumberFormat="1" applyBorder="1" applyAlignment="1"/>
    <xf numFmtId="2" fontId="0" fillId="0" borderId="9" xfId="0" applyNumberFormat="1" applyBorder="1" applyAlignment="1"/>
    <xf numFmtId="0" fontId="0" fillId="0" borderId="27" xfId="0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2" fontId="0" fillId="0" borderId="39" xfId="0" applyNumberFormat="1" applyFill="1" applyBorder="1" applyAlignment="1" applyProtection="1">
      <alignment horizontal="right"/>
      <protection locked="0"/>
    </xf>
    <xf numFmtId="2" fontId="0" fillId="0" borderId="47" xfId="0" applyNumberFormat="1" applyFill="1" applyBorder="1" applyAlignment="1" applyProtection="1">
      <alignment horizontal="right"/>
      <protection locked="0"/>
    </xf>
    <xf numFmtId="2" fontId="0" fillId="0" borderId="44" xfId="0" applyNumberFormat="1" applyFill="1" applyBorder="1" applyAlignment="1" applyProtection="1">
      <alignment horizontal="right"/>
      <protection locked="0"/>
    </xf>
    <xf numFmtId="2" fontId="0" fillId="0" borderId="50" xfId="0" applyNumberFormat="1" applyFill="1" applyBorder="1" applyAlignment="1" applyProtection="1">
      <alignment horizontal="right"/>
      <protection locked="0"/>
    </xf>
    <xf numFmtId="167" fontId="0" fillId="0" borderId="44" xfId="0" applyNumberFormat="1" applyFill="1" applyBorder="1" applyAlignment="1" applyProtection="1">
      <alignment horizontal="left"/>
      <protection locked="0"/>
    </xf>
    <xf numFmtId="167" fontId="0" fillId="0" borderId="48" xfId="0" applyNumberFormat="1" applyFill="1" applyBorder="1" applyAlignment="1" applyProtection="1">
      <alignment horizontal="left"/>
      <protection locked="0"/>
    </xf>
    <xf numFmtId="0" fontId="0" fillId="0" borderId="48" xfId="0" applyFill="1" applyBorder="1" applyAlignment="1" applyProtection="1">
      <alignment horizontal="left"/>
      <protection locked="0"/>
    </xf>
    <xf numFmtId="0" fontId="0" fillId="0" borderId="51" xfId="0" applyBorder="1" applyAlignment="1" applyProtection="1">
      <alignment horizontal="left"/>
      <protection locked="0"/>
    </xf>
    <xf numFmtId="0" fontId="0" fillId="0" borderId="33" xfId="0" applyBorder="1" applyAlignment="1" applyProtection="1">
      <alignment horizontal="left"/>
      <protection locked="0"/>
    </xf>
    <xf numFmtId="0" fontId="0" fillId="2" borderId="20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wrapText="1"/>
    </xf>
    <xf numFmtId="172" fontId="0" fillId="0" borderId="6" xfId="0" applyNumberFormat="1" applyBorder="1" applyAlignment="1" applyProtection="1">
      <alignment horizontal="left"/>
      <protection locked="0"/>
    </xf>
    <xf numFmtId="172" fontId="0" fillId="0" borderId="7" xfId="0" applyNumberFormat="1" applyBorder="1" applyAlignment="1" applyProtection="1">
      <alignment horizontal="left"/>
      <protection locked="0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48" xfId="0" applyNumberFormat="1" applyFill="1" applyBorder="1" applyAlignment="1" applyProtection="1">
      <alignment horizontal="right"/>
      <protection locked="0"/>
    </xf>
    <xf numFmtId="2" fontId="0" fillId="0" borderId="40" xfId="0" applyNumberFormat="1" applyFill="1" applyBorder="1" applyAlignment="1" applyProtection="1">
      <alignment horizontal="right"/>
      <protection locked="0"/>
    </xf>
    <xf numFmtId="0" fontId="0" fillId="2" borderId="3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0" borderId="39" xfId="0" applyFill="1" applyBorder="1" applyAlignment="1" applyProtection="1">
      <alignment horizontal="left"/>
      <protection locked="0"/>
    </xf>
    <xf numFmtId="0" fontId="0" fillId="0" borderId="44" xfId="0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Fill="1" applyBorder="1" applyAlignment="1" applyProtection="1">
      <alignment horizontal="left"/>
      <protection locked="0"/>
    </xf>
    <xf numFmtId="0" fontId="0" fillId="0" borderId="2" xfId="0" applyFill="1" applyBorder="1" applyAlignment="1" applyProtection="1">
      <alignment horizontal="left"/>
      <protection locked="0"/>
    </xf>
    <xf numFmtId="0" fontId="0" fillId="0" borderId="7" xfId="0" applyFill="1" applyBorder="1" applyAlignment="1" applyProtection="1">
      <alignment horizontal="left"/>
      <protection locked="0"/>
    </xf>
    <xf numFmtId="0" fontId="3" fillId="0" borderId="3" xfId="0" applyFont="1" applyFill="1" applyBorder="1" applyAlignment="1" applyProtection="1">
      <alignment horizontal="left" vertical="top" wrapText="1"/>
    </xf>
    <xf numFmtId="0" fontId="3" fillId="0" borderId="4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3" fillId="0" borderId="1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0" fillId="0" borderId="12" xfId="0" applyFont="1" applyFill="1" applyBorder="1" applyAlignment="1" applyProtection="1">
      <alignment horizontal="left" wrapText="1"/>
    </xf>
    <xf numFmtId="0" fontId="0" fillId="0" borderId="0" xfId="0" applyFont="1" applyFill="1" applyBorder="1" applyAlignment="1" applyProtection="1">
      <alignment horizontal="left" wrapText="1"/>
    </xf>
    <xf numFmtId="0" fontId="0" fillId="0" borderId="13" xfId="0" applyFont="1" applyFill="1" applyBorder="1" applyAlignment="1" applyProtection="1">
      <alignment horizontal="left" wrapText="1"/>
    </xf>
    <xf numFmtId="0" fontId="3" fillId="0" borderId="3" xfId="0" applyFont="1" applyBorder="1" applyAlignment="1" applyProtection="1">
      <alignment horizontal="left" vertical="top" wrapText="1"/>
    </xf>
    <xf numFmtId="0" fontId="3" fillId="0" borderId="4" xfId="0" applyFont="1" applyBorder="1" applyAlignment="1" applyProtection="1">
      <alignment horizontal="left" vertical="top" wrapText="1"/>
    </xf>
    <xf numFmtId="0" fontId="3" fillId="0" borderId="5" xfId="0" applyFont="1" applyBorder="1" applyAlignment="1" applyProtection="1">
      <alignment horizontal="left" vertical="top" wrapText="1"/>
    </xf>
    <xf numFmtId="0" fontId="3" fillId="0" borderId="12" xfId="0" applyFont="1" applyBorder="1" applyAlignment="1" applyProtection="1">
      <alignment horizontal="left" vertical="top" wrapText="1"/>
    </xf>
    <xf numFmtId="0" fontId="3" fillId="0" borderId="0" xfId="0" applyFont="1" applyBorder="1" applyAlignment="1" applyProtection="1">
      <alignment horizontal="left" vertical="top" wrapText="1"/>
    </xf>
    <xf numFmtId="0" fontId="3" fillId="0" borderId="13" xfId="0" applyFont="1" applyBorder="1" applyAlignment="1" applyProtection="1">
      <alignment horizontal="left" vertical="top" wrapText="1"/>
    </xf>
    <xf numFmtId="0" fontId="0" fillId="0" borderId="12" xfId="0" applyFont="1" applyBorder="1" applyAlignment="1" applyProtection="1">
      <alignment horizontal="left" wrapText="1"/>
    </xf>
    <xf numFmtId="0" fontId="0" fillId="0" borderId="0" xfId="0" applyFont="1" applyBorder="1" applyAlignment="1" applyProtection="1">
      <alignment horizontal="left" wrapText="1"/>
    </xf>
    <xf numFmtId="0" fontId="0" fillId="0" borderId="13" xfId="0" applyFont="1" applyBorder="1" applyAlignment="1" applyProtection="1">
      <alignment horizontal="left" wrapText="1"/>
    </xf>
    <xf numFmtId="0" fontId="0" fillId="0" borderId="6" xfId="0" applyBorder="1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2" borderId="20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left" vertical="top"/>
    </xf>
    <xf numFmtId="0" fontId="0" fillId="0" borderId="4" xfId="0" applyBorder="1" applyAlignment="1" applyProtection="1">
      <alignment horizontal="left" vertical="top"/>
    </xf>
    <xf numFmtId="0" fontId="0" fillId="0" borderId="5" xfId="0" applyBorder="1" applyAlignment="1" applyProtection="1">
      <alignment horizontal="left" vertical="top"/>
    </xf>
    <xf numFmtId="0" fontId="0" fillId="0" borderId="7" xfId="0" applyBorder="1" applyAlignment="1" applyProtection="1">
      <alignment horizontal="left" vertical="top"/>
      <protection locked="0"/>
    </xf>
    <xf numFmtId="0" fontId="1" fillId="0" borderId="12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4" fontId="0" fillId="0" borderId="3" xfId="0" applyNumberFormat="1" applyBorder="1" applyAlignment="1" applyProtection="1">
      <alignment horizontal="left" vertical="top"/>
    </xf>
    <xf numFmtId="164" fontId="0" fillId="0" borderId="4" xfId="0" applyNumberFormat="1" applyBorder="1" applyAlignment="1" applyProtection="1">
      <alignment horizontal="left" vertical="top"/>
    </xf>
    <xf numFmtId="164" fontId="0" fillId="0" borderId="5" xfId="0" applyNumberFormat="1" applyBorder="1" applyAlignment="1" applyProtection="1">
      <alignment horizontal="left" vertical="top"/>
    </xf>
    <xf numFmtId="164" fontId="0" fillId="0" borderId="12" xfId="0" applyNumberFormat="1" applyBorder="1" applyAlignment="1" applyProtection="1">
      <alignment horizontal="left" vertical="top" wrapText="1"/>
      <protection locked="0"/>
    </xf>
    <xf numFmtId="164" fontId="0" fillId="0" borderId="0" xfId="0" applyNumberFormat="1" applyBorder="1" applyAlignment="1" applyProtection="1">
      <alignment horizontal="left" vertical="top" wrapText="1"/>
      <protection locked="0"/>
    </xf>
    <xf numFmtId="164" fontId="0" fillId="0" borderId="13" xfId="0" applyNumberFormat="1" applyBorder="1" applyAlignment="1" applyProtection="1">
      <alignment horizontal="left" vertical="top" wrapText="1"/>
      <protection locked="0"/>
    </xf>
    <xf numFmtId="164" fontId="0" fillId="0" borderId="6" xfId="0" applyNumberForma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left" vertical="top" wrapText="1"/>
      <protection locked="0"/>
    </xf>
    <xf numFmtId="164" fontId="0" fillId="0" borderId="7" xfId="0" applyNumberFormat="1" applyBorder="1" applyAlignment="1" applyProtection="1">
      <alignment horizontal="left" vertical="top" wrapText="1"/>
      <protection locked="0"/>
    </xf>
    <xf numFmtId="0" fontId="0" fillId="0" borderId="24" xfId="0" applyBorder="1" applyAlignment="1" applyProtection="1">
      <alignment horizontal="left"/>
      <protection locked="0"/>
    </xf>
    <xf numFmtId="0" fontId="0" fillId="0" borderId="29" xfId="0" applyBorder="1" applyAlignment="1" applyProtection="1">
      <alignment horizontal="left"/>
      <protection locked="0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13" xfId="0" applyNumberForma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center"/>
    </xf>
    <xf numFmtId="2" fontId="0" fillId="0" borderId="10" xfId="0" applyNumberFormat="1" applyBorder="1" applyAlignment="1" applyProtection="1">
      <alignment horizontal="right"/>
    </xf>
    <xf numFmtId="2" fontId="0" fillId="0" borderId="14" xfId="0" applyNumberFormat="1" applyBorder="1" applyAlignment="1" applyProtection="1">
      <alignment horizontal="right"/>
    </xf>
    <xf numFmtId="2" fontId="0" fillId="0" borderId="11" xfId="0" applyNumberFormat="1" applyBorder="1" applyAlignment="1" applyProtection="1">
      <alignment horizontal="right"/>
    </xf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2" fontId="0" fillId="0" borderId="8" xfId="0" applyNumberFormat="1" applyBorder="1" applyAlignment="1" applyProtection="1">
      <alignment horizontal="right"/>
    </xf>
    <xf numFmtId="2" fontId="0" fillId="0" borderId="9" xfId="0" applyNumberFormat="1" applyBorder="1" applyAlignment="1" applyProtection="1">
      <alignment horizontal="right"/>
    </xf>
    <xf numFmtId="2" fontId="0" fillId="0" borderId="3" xfId="0" applyNumberFormat="1" applyBorder="1" applyAlignment="1" applyProtection="1">
      <alignment horizontal="right"/>
    </xf>
    <xf numFmtId="2" fontId="0" fillId="0" borderId="4" xfId="0" applyNumberFormat="1" applyBorder="1" applyAlignment="1" applyProtection="1">
      <alignment horizontal="right"/>
    </xf>
    <xf numFmtId="2" fontId="0" fillId="0" borderId="5" xfId="0" applyNumberFormat="1" applyBorder="1" applyAlignment="1" applyProtection="1">
      <alignment horizontal="right"/>
    </xf>
    <xf numFmtId="2" fontId="0" fillId="0" borderId="6" xfId="0" applyNumberFormat="1" applyBorder="1" applyAlignment="1" applyProtection="1">
      <alignment horizontal="right"/>
    </xf>
    <xf numFmtId="2" fontId="0" fillId="0" borderId="2" xfId="0" applyNumberFormat="1" applyBorder="1" applyAlignment="1" applyProtection="1">
      <alignment horizontal="right"/>
    </xf>
    <xf numFmtId="2" fontId="0" fillId="0" borderId="7" xfId="0" applyNumberFormat="1" applyBorder="1" applyAlignment="1" applyProtection="1">
      <alignment horizontal="right"/>
    </xf>
    <xf numFmtId="2" fontId="0" fillId="0" borderId="15" xfId="0" applyNumberFormat="1" applyBorder="1" applyAlignment="1">
      <alignment horizontal="right"/>
    </xf>
    <xf numFmtId="0" fontId="0" fillId="0" borderId="48" xfId="0" applyBorder="1" applyAlignment="1" applyProtection="1">
      <alignment horizontal="left"/>
      <protection locked="0"/>
    </xf>
    <xf numFmtId="0" fontId="0" fillId="0" borderId="40" xfId="0" applyBorder="1" applyAlignment="1" applyProtection="1">
      <alignment horizontal="left"/>
      <protection locked="0"/>
    </xf>
    <xf numFmtId="0" fontId="7" fillId="0" borderId="4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2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2" fontId="7" fillId="0" borderId="5" xfId="0" applyNumberFormat="1" applyFont="1" applyBorder="1" applyAlignment="1" applyProtection="1">
      <alignment horizontal="center"/>
      <protection locked="0"/>
    </xf>
    <xf numFmtId="2" fontId="7" fillId="0" borderId="7" xfId="0" applyNumberFormat="1" applyFont="1" applyBorder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2">
    <dxf>
      <numFmt numFmtId="173" formatCode="0.000"/>
    </dxf>
    <dxf>
      <numFmt numFmtId="173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467458</xdr:colOff>
      <xdr:row>38</xdr:row>
      <xdr:rowOff>131884</xdr:rowOff>
    </xdr:from>
    <xdr:to>
      <xdr:col>11</xdr:col>
      <xdr:colOff>130419</xdr:colOff>
      <xdr:row>40</xdr:row>
      <xdr:rowOff>21980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344133" y="5865934"/>
          <a:ext cx="720236" cy="194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(              )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19050</xdr:rowOff>
    </xdr:from>
    <xdr:to>
      <xdr:col>3</xdr:col>
      <xdr:colOff>428625</xdr:colOff>
      <xdr:row>2</xdr:row>
      <xdr:rowOff>55566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9050"/>
          <a:ext cx="1838325" cy="296866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42</xdr:row>
      <xdr:rowOff>76200</xdr:rowOff>
    </xdr:from>
    <xdr:to>
      <xdr:col>2</xdr:col>
      <xdr:colOff>295275</xdr:colOff>
      <xdr:row>43</xdr:row>
      <xdr:rowOff>190500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55F3728F-25F8-9C93-E8B5-B9A251F9FAB4}"/>
            </a:ext>
          </a:extLst>
        </xdr:cNvPr>
        <xdr:cNvSpPr/>
      </xdr:nvSpPr>
      <xdr:spPr>
        <a:xfrm>
          <a:off x="762000" y="6457950"/>
          <a:ext cx="266700" cy="304800"/>
        </a:xfrm>
        <a:custGeom>
          <a:avLst/>
          <a:gdLst>
            <a:gd name="connsiteX0" fmla="*/ 9525 w 266700"/>
            <a:gd name="connsiteY0" fmla="*/ 257175 h 304800"/>
            <a:gd name="connsiteX1" fmla="*/ 0 w 266700"/>
            <a:gd name="connsiteY1" fmla="*/ 200025 h 304800"/>
            <a:gd name="connsiteX2" fmla="*/ 19050 w 266700"/>
            <a:gd name="connsiteY2" fmla="*/ 76200 h 304800"/>
            <a:gd name="connsiteX3" fmla="*/ 57150 w 266700"/>
            <a:gd name="connsiteY3" fmla="*/ 0 h 304800"/>
            <a:gd name="connsiteX4" fmla="*/ 123825 w 266700"/>
            <a:gd name="connsiteY4" fmla="*/ 66675 h 304800"/>
            <a:gd name="connsiteX5" fmla="*/ 47625 w 266700"/>
            <a:gd name="connsiteY5" fmla="*/ 257175 h 304800"/>
            <a:gd name="connsiteX6" fmla="*/ 38100 w 266700"/>
            <a:gd name="connsiteY6" fmla="*/ 285750 h 304800"/>
            <a:gd name="connsiteX7" fmla="*/ 114300 w 266700"/>
            <a:gd name="connsiteY7" fmla="*/ 276225 h 304800"/>
            <a:gd name="connsiteX8" fmla="*/ 180975 w 266700"/>
            <a:gd name="connsiteY8" fmla="*/ 257175 h 304800"/>
            <a:gd name="connsiteX9" fmla="*/ 238125 w 266700"/>
            <a:gd name="connsiteY9" fmla="*/ 247650 h 304800"/>
            <a:gd name="connsiteX10" fmla="*/ 219075 w 266700"/>
            <a:gd name="connsiteY10" fmla="*/ 104775 h 304800"/>
            <a:gd name="connsiteX11" fmla="*/ 228600 w 266700"/>
            <a:gd name="connsiteY11" fmla="*/ 66675 h 304800"/>
            <a:gd name="connsiteX12" fmla="*/ 238125 w 266700"/>
            <a:gd name="connsiteY12" fmla="*/ 114300 h 304800"/>
            <a:gd name="connsiteX13" fmla="*/ 247650 w 266700"/>
            <a:gd name="connsiteY13" fmla="*/ 171450 h 304800"/>
            <a:gd name="connsiteX14" fmla="*/ 266700 w 266700"/>
            <a:gd name="connsiteY14" fmla="*/ 304800 h 304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266700" h="304800">
              <a:moveTo>
                <a:pt x="9525" y="257175"/>
              </a:moveTo>
              <a:cubicBezTo>
                <a:pt x="6350" y="238125"/>
                <a:pt x="0" y="219338"/>
                <a:pt x="0" y="200025"/>
              </a:cubicBezTo>
              <a:cubicBezTo>
                <a:pt x="0" y="119908"/>
                <a:pt x="7547" y="133715"/>
                <a:pt x="19050" y="76200"/>
              </a:cubicBezTo>
              <a:cubicBezTo>
                <a:pt x="33089" y="6003"/>
                <a:pt x="10945" y="30803"/>
                <a:pt x="57150" y="0"/>
              </a:cubicBezTo>
              <a:cubicBezTo>
                <a:pt x="75011" y="11907"/>
                <a:pt x="127641" y="42823"/>
                <a:pt x="123825" y="66675"/>
              </a:cubicBezTo>
              <a:cubicBezTo>
                <a:pt x="113020" y="134208"/>
                <a:pt x="72547" y="193486"/>
                <a:pt x="47625" y="257175"/>
              </a:cubicBezTo>
              <a:cubicBezTo>
                <a:pt x="43966" y="266525"/>
                <a:pt x="28446" y="282992"/>
                <a:pt x="38100" y="285750"/>
              </a:cubicBezTo>
              <a:cubicBezTo>
                <a:pt x="62713" y="292782"/>
                <a:pt x="88900" y="279400"/>
                <a:pt x="114300" y="276225"/>
              </a:cubicBezTo>
              <a:cubicBezTo>
                <a:pt x="136525" y="269875"/>
                <a:pt x="158453" y="262372"/>
                <a:pt x="180975" y="257175"/>
              </a:cubicBezTo>
              <a:cubicBezTo>
                <a:pt x="199793" y="252832"/>
                <a:pt x="233441" y="266386"/>
                <a:pt x="238125" y="247650"/>
              </a:cubicBezTo>
              <a:cubicBezTo>
                <a:pt x="249778" y="201038"/>
                <a:pt x="225425" y="152400"/>
                <a:pt x="219075" y="104775"/>
              </a:cubicBezTo>
              <a:cubicBezTo>
                <a:pt x="222250" y="92075"/>
                <a:pt x="216891" y="60821"/>
                <a:pt x="228600" y="66675"/>
              </a:cubicBezTo>
              <a:cubicBezTo>
                <a:pt x="243080" y="73915"/>
                <a:pt x="235229" y="98372"/>
                <a:pt x="238125" y="114300"/>
              </a:cubicBezTo>
              <a:cubicBezTo>
                <a:pt x="241580" y="133301"/>
                <a:pt x="244785" y="152351"/>
                <a:pt x="247650" y="171450"/>
              </a:cubicBezTo>
              <a:cubicBezTo>
                <a:pt x="254311" y="215855"/>
                <a:pt x="266700" y="304800"/>
                <a:pt x="266700" y="30480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391959</xdr:colOff>
      <xdr:row>42</xdr:row>
      <xdr:rowOff>171450</xdr:rowOff>
    </xdr:from>
    <xdr:to>
      <xdr:col>2</xdr:col>
      <xdr:colOff>631448</xdr:colOff>
      <xdr:row>44</xdr:row>
      <xdr:rowOff>38100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1655F431-01CA-31AE-CB21-D2F3097D19C6}"/>
            </a:ext>
          </a:extLst>
        </xdr:cNvPr>
        <xdr:cNvSpPr/>
      </xdr:nvSpPr>
      <xdr:spPr>
        <a:xfrm>
          <a:off x="1125384" y="6553200"/>
          <a:ext cx="239489" cy="276225"/>
        </a:xfrm>
        <a:custGeom>
          <a:avLst/>
          <a:gdLst>
            <a:gd name="connsiteX0" fmla="*/ 36666 w 239489"/>
            <a:gd name="connsiteY0" fmla="*/ 0 h 276225"/>
            <a:gd name="connsiteX1" fmla="*/ 17616 w 239489"/>
            <a:gd name="connsiteY1" fmla="*/ 276225 h 276225"/>
            <a:gd name="connsiteX2" fmla="*/ 36666 w 239489"/>
            <a:gd name="connsiteY2" fmla="*/ 238125 h 276225"/>
            <a:gd name="connsiteX3" fmla="*/ 93816 w 239489"/>
            <a:gd name="connsiteY3" fmla="*/ 228600 h 276225"/>
            <a:gd name="connsiteX4" fmla="*/ 122391 w 239489"/>
            <a:gd name="connsiteY4" fmla="*/ 209550 h 276225"/>
            <a:gd name="connsiteX5" fmla="*/ 179541 w 239489"/>
            <a:gd name="connsiteY5" fmla="*/ 200025 h 276225"/>
            <a:gd name="connsiteX6" fmla="*/ 236691 w 239489"/>
            <a:gd name="connsiteY6" fmla="*/ 152400 h 276225"/>
            <a:gd name="connsiteX7" fmla="*/ 227166 w 239489"/>
            <a:gd name="connsiteY7" fmla="*/ 76200 h 276225"/>
            <a:gd name="connsiteX8" fmla="*/ 227166 w 239489"/>
            <a:gd name="connsiteY8" fmla="*/ 57150 h 276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39489" h="276225">
              <a:moveTo>
                <a:pt x="36666" y="0"/>
              </a:moveTo>
              <a:cubicBezTo>
                <a:pt x="6940" y="257624"/>
                <a:pt x="-18187" y="168817"/>
                <a:pt x="17616" y="276225"/>
              </a:cubicBezTo>
              <a:cubicBezTo>
                <a:pt x="23966" y="263525"/>
                <a:pt x="24625" y="245650"/>
                <a:pt x="36666" y="238125"/>
              </a:cubicBezTo>
              <a:cubicBezTo>
                <a:pt x="53043" y="227889"/>
                <a:pt x="75494" y="234707"/>
                <a:pt x="93816" y="228600"/>
              </a:cubicBezTo>
              <a:cubicBezTo>
                <a:pt x="104676" y="224980"/>
                <a:pt x="111531" y="213170"/>
                <a:pt x="122391" y="209550"/>
              </a:cubicBezTo>
              <a:cubicBezTo>
                <a:pt x="140713" y="203443"/>
                <a:pt x="160491" y="203200"/>
                <a:pt x="179541" y="200025"/>
              </a:cubicBezTo>
              <a:cubicBezTo>
                <a:pt x="198591" y="184150"/>
                <a:pt x="227789" y="175545"/>
                <a:pt x="236691" y="152400"/>
              </a:cubicBezTo>
              <a:cubicBezTo>
                <a:pt x="245880" y="128509"/>
                <a:pt x="229713" y="101671"/>
                <a:pt x="227166" y="76200"/>
              </a:cubicBezTo>
              <a:cubicBezTo>
                <a:pt x="226534" y="69882"/>
                <a:pt x="227166" y="63500"/>
                <a:pt x="227166" y="5715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81519</xdr:colOff>
      <xdr:row>43</xdr:row>
      <xdr:rowOff>0</xdr:rowOff>
    </xdr:from>
    <xdr:to>
      <xdr:col>3</xdr:col>
      <xdr:colOff>542925</xdr:colOff>
      <xdr:row>44</xdr:row>
      <xdr:rowOff>3314</xdr:rowOff>
    </xdr:to>
    <xdr:sp macro="" textlink="">
      <xdr:nvSpPr>
        <xdr:cNvPr id="8" name="Freeform: Shape 7">
          <a:extLst>
            <a:ext uri="{FF2B5EF4-FFF2-40B4-BE49-F238E27FC236}">
              <a16:creationId xmlns:a16="http://schemas.microsoft.com/office/drawing/2014/main" id="{276ECAD5-602D-F22F-A28A-A5E50800B880}"/>
            </a:ext>
          </a:extLst>
        </xdr:cNvPr>
        <xdr:cNvSpPr/>
      </xdr:nvSpPr>
      <xdr:spPr>
        <a:xfrm>
          <a:off x="1529319" y="6572250"/>
          <a:ext cx="461406" cy="222389"/>
        </a:xfrm>
        <a:custGeom>
          <a:avLst/>
          <a:gdLst>
            <a:gd name="connsiteX0" fmla="*/ 23256 w 461406"/>
            <a:gd name="connsiteY0" fmla="*/ 0 h 222389"/>
            <a:gd name="connsiteX1" fmla="*/ 51831 w 461406"/>
            <a:gd name="connsiteY1" fmla="*/ 171450 h 222389"/>
            <a:gd name="connsiteX2" fmla="*/ 89931 w 461406"/>
            <a:gd name="connsiteY2" fmla="*/ 142875 h 222389"/>
            <a:gd name="connsiteX3" fmla="*/ 156606 w 461406"/>
            <a:gd name="connsiteY3" fmla="*/ 152400 h 222389"/>
            <a:gd name="connsiteX4" fmla="*/ 194706 w 461406"/>
            <a:gd name="connsiteY4" fmla="*/ 171450 h 222389"/>
            <a:gd name="connsiteX5" fmla="*/ 356631 w 461406"/>
            <a:gd name="connsiteY5" fmla="*/ 161925 h 222389"/>
            <a:gd name="connsiteX6" fmla="*/ 423306 w 461406"/>
            <a:gd name="connsiteY6" fmla="*/ 95250 h 222389"/>
            <a:gd name="connsiteX7" fmla="*/ 461406 w 461406"/>
            <a:gd name="connsiteY7" fmla="*/ 66675 h 22238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61406" h="222389">
              <a:moveTo>
                <a:pt x="23256" y="0"/>
              </a:moveTo>
              <a:cubicBezTo>
                <a:pt x="10899" y="271858"/>
                <a:pt x="-35193" y="247596"/>
                <a:pt x="51831" y="171450"/>
              </a:cubicBezTo>
              <a:cubicBezTo>
                <a:pt x="63778" y="160996"/>
                <a:pt x="77231" y="152400"/>
                <a:pt x="89931" y="142875"/>
              </a:cubicBezTo>
              <a:cubicBezTo>
                <a:pt x="112156" y="146050"/>
                <a:pt x="134946" y="146493"/>
                <a:pt x="156606" y="152400"/>
              </a:cubicBezTo>
              <a:cubicBezTo>
                <a:pt x="170305" y="156136"/>
                <a:pt x="180523" y="170775"/>
                <a:pt x="194706" y="171450"/>
              </a:cubicBezTo>
              <a:cubicBezTo>
                <a:pt x="248713" y="174022"/>
                <a:pt x="302656" y="165100"/>
                <a:pt x="356631" y="161925"/>
              </a:cubicBezTo>
              <a:cubicBezTo>
                <a:pt x="378856" y="139700"/>
                <a:pt x="400049" y="116393"/>
                <a:pt x="423306" y="95250"/>
              </a:cubicBezTo>
              <a:cubicBezTo>
                <a:pt x="435053" y="84571"/>
                <a:pt x="461406" y="66675"/>
                <a:pt x="461406" y="66675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A8" totalsRowShown="0">
  <autoFilter ref="A1:A8" xr:uid="{00000000-0009-0000-0100-000006000000}"/>
  <tableColumns count="1">
    <tableColumn id="1" xr3:uid="{00000000-0010-0000-0000-000001000000}" name="Da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A5" totalsRowShown="0" dataDxfId="1">
  <autoFilter ref="A1:A5" xr:uid="{00000000-0009-0000-0100-000001000000}"/>
  <tableColumns count="1">
    <tableColumn id="1" xr3:uid="{00000000-0010-0000-0100-000001000000}" name="Rate" dataDxfId="0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A5" totalsRowShown="0">
  <autoFilter ref="A1:A5" xr:uid="{00000000-0009-0000-0100-000005000000}"/>
  <tableColumns count="1">
    <tableColumn id="1" xr3:uid="{00000000-0010-0000-0200-000001000000}" name="POV Full Rate Reas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showZeros="0" tabSelected="1" view="pageLayout" zoomScaleNormal="100" workbookViewId="0">
      <selection activeCell="E44" sqref="E44:F44"/>
    </sheetView>
  </sheetViews>
  <sheetFormatPr defaultRowHeight="12" x14ac:dyDescent="0.2"/>
  <cols>
    <col min="1" max="1" width="7.5703125" customWidth="1"/>
    <col min="2" max="2" width="3.85546875" customWidth="1"/>
    <col min="3" max="3" width="11.140625" customWidth="1"/>
    <col min="4" max="4" width="11.28515625" customWidth="1"/>
    <col min="5" max="5" width="9.140625" customWidth="1"/>
    <col min="6" max="6" width="9.42578125" customWidth="1"/>
    <col min="7" max="8" width="2.85546875" customWidth="1"/>
    <col min="9" max="9" width="3" customWidth="1"/>
    <col min="10" max="10" width="9" customWidth="1"/>
    <col min="11" max="11" width="7.5703125" customWidth="1"/>
    <col min="12" max="12" width="7.42578125" customWidth="1"/>
    <col min="13" max="13" width="11.42578125" customWidth="1"/>
    <col min="14" max="16" width="7.5703125" customWidth="1"/>
    <col min="17" max="17" width="9.140625" customWidth="1"/>
    <col min="18" max="18" width="20.85546875" customWidth="1"/>
  </cols>
  <sheetData>
    <row r="1" spans="1:18" ht="5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0</v>
      </c>
      <c r="O2" s="1"/>
      <c r="P2" s="1"/>
      <c r="Q2" s="1"/>
      <c r="R2" s="1"/>
    </row>
    <row r="3" spans="1:18" ht="5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s="106" t="s">
        <v>23</v>
      </c>
      <c r="B4" s="107"/>
      <c r="C4" s="107"/>
      <c r="D4" s="107"/>
      <c r="E4" s="107"/>
      <c r="F4" s="107"/>
      <c r="G4" s="108"/>
      <c r="H4" s="106" t="s">
        <v>24</v>
      </c>
      <c r="I4" s="107"/>
      <c r="J4" s="107"/>
      <c r="K4" s="108"/>
      <c r="L4" s="106" t="s">
        <v>25</v>
      </c>
      <c r="M4" s="107"/>
      <c r="N4" s="108"/>
      <c r="O4" s="106" t="s">
        <v>26</v>
      </c>
      <c r="P4" s="107"/>
      <c r="Q4" s="107"/>
      <c r="R4" s="108"/>
    </row>
    <row r="5" spans="1:18" x14ac:dyDescent="0.2">
      <c r="A5" s="137" t="s">
        <v>88</v>
      </c>
      <c r="B5" s="138"/>
      <c r="C5" s="138"/>
      <c r="D5" s="138"/>
      <c r="E5" s="138"/>
      <c r="F5" s="138"/>
      <c r="G5" s="139"/>
      <c r="H5" s="109">
        <v>20165887</v>
      </c>
      <c r="I5" s="110"/>
      <c r="J5" s="110"/>
      <c r="K5" s="111"/>
      <c r="L5" s="137" t="s">
        <v>95</v>
      </c>
      <c r="M5" s="138"/>
      <c r="N5" s="139"/>
      <c r="O5" s="137" t="s">
        <v>96</v>
      </c>
      <c r="P5" s="138"/>
      <c r="Q5" s="138"/>
      <c r="R5" s="139"/>
    </row>
    <row r="6" spans="1:18" x14ac:dyDescent="0.2">
      <c r="A6" s="106" t="s">
        <v>27</v>
      </c>
      <c r="B6" s="107"/>
      <c r="C6" s="107"/>
      <c r="D6" s="107"/>
      <c r="E6" s="107"/>
      <c r="F6" s="107"/>
      <c r="G6" s="108"/>
      <c r="H6" s="106" t="s">
        <v>28</v>
      </c>
      <c r="I6" s="107"/>
      <c r="J6" s="107"/>
      <c r="K6" s="108"/>
      <c r="L6" s="46" t="s">
        <v>21</v>
      </c>
      <c r="M6" s="106" t="s">
        <v>22</v>
      </c>
      <c r="N6" s="108"/>
      <c r="O6" s="106" t="s">
        <v>29</v>
      </c>
      <c r="P6" s="107"/>
      <c r="Q6" s="107"/>
      <c r="R6" s="108"/>
    </row>
    <row r="7" spans="1:18" x14ac:dyDescent="0.2">
      <c r="A7" s="116" t="s">
        <v>89</v>
      </c>
      <c r="B7" s="117"/>
      <c r="C7" s="117"/>
      <c r="D7" s="117"/>
      <c r="E7" s="117"/>
      <c r="F7" s="117"/>
      <c r="G7" s="118"/>
      <c r="H7" s="116" t="s">
        <v>90</v>
      </c>
      <c r="I7" s="117"/>
      <c r="J7" s="117"/>
      <c r="K7" s="118"/>
      <c r="L7" s="18" t="s">
        <v>91</v>
      </c>
      <c r="M7" s="151">
        <v>98607</v>
      </c>
      <c r="N7" s="152"/>
      <c r="O7" s="137" t="s">
        <v>91</v>
      </c>
      <c r="P7" s="138"/>
      <c r="Q7" s="138"/>
      <c r="R7" s="139"/>
    </row>
    <row r="8" spans="1:18" ht="14.65" customHeight="1" x14ac:dyDescent="0.2">
      <c r="A8" s="149" t="s">
        <v>1</v>
      </c>
      <c r="B8" s="115" t="s">
        <v>2</v>
      </c>
      <c r="C8" s="115" t="s">
        <v>20</v>
      </c>
      <c r="D8" s="115"/>
      <c r="E8" s="115" t="s">
        <v>19</v>
      </c>
      <c r="F8" s="115"/>
      <c r="G8" s="115" t="s">
        <v>18</v>
      </c>
      <c r="H8" s="115"/>
      <c r="I8" s="115"/>
      <c r="J8" s="115" t="s">
        <v>10</v>
      </c>
      <c r="K8" s="113" t="s">
        <v>11</v>
      </c>
      <c r="L8" s="113" t="s">
        <v>12</v>
      </c>
      <c r="M8" s="112" t="s">
        <v>76</v>
      </c>
      <c r="N8" s="112" t="s">
        <v>14</v>
      </c>
      <c r="O8" s="112" t="s">
        <v>15</v>
      </c>
      <c r="P8" s="114" t="s">
        <v>16</v>
      </c>
      <c r="Q8" s="112" t="s">
        <v>17</v>
      </c>
      <c r="R8" s="112"/>
    </row>
    <row r="9" spans="1:18" ht="21.6" customHeight="1" x14ac:dyDescent="0.2">
      <c r="A9" s="150"/>
      <c r="B9" s="115"/>
      <c r="C9" s="5" t="s">
        <v>3</v>
      </c>
      <c r="D9" s="5" t="s">
        <v>4</v>
      </c>
      <c r="E9" s="5" t="s">
        <v>5</v>
      </c>
      <c r="F9" s="5" t="s">
        <v>6</v>
      </c>
      <c r="G9" s="6" t="s">
        <v>7</v>
      </c>
      <c r="H9" s="6" t="s">
        <v>8</v>
      </c>
      <c r="I9" s="6" t="s">
        <v>9</v>
      </c>
      <c r="J9" s="115"/>
      <c r="K9" s="113"/>
      <c r="L9" s="113"/>
      <c r="M9" s="115"/>
      <c r="N9" s="113"/>
      <c r="O9" s="113"/>
      <c r="P9" s="115"/>
      <c r="Q9" s="113"/>
      <c r="R9" s="113"/>
    </row>
    <row r="10" spans="1:18" x14ac:dyDescent="0.2">
      <c r="A10" s="40">
        <v>44964</v>
      </c>
      <c r="B10" s="15" t="s">
        <v>65</v>
      </c>
      <c r="C10" s="79" t="s">
        <v>97</v>
      </c>
      <c r="D10" s="79" t="s">
        <v>92</v>
      </c>
      <c r="E10" s="43">
        <v>0.45833333333333331</v>
      </c>
      <c r="F10" s="43"/>
      <c r="G10" s="70"/>
      <c r="H10" s="70">
        <v>20</v>
      </c>
      <c r="I10" s="70">
        <v>36</v>
      </c>
      <c r="J10" s="71"/>
      <c r="K10" s="70"/>
      <c r="L10" s="92"/>
      <c r="M10" s="85"/>
      <c r="N10" s="53">
        <v>0</v>
      </c>
      <c r="O10" s="54"/>
      <c r="P10" s="55">
        <f t="shared" ref="P10:P12" si="0">SUM(G10:J10,N10:O10)</f>
        <v>56</v>
      </c>
      <c r="Q10" s="121" t="s">
        <v>93</v>
      </c>
      <c r="R10" s="122"/>
    </row>
    <row r="11" spans="1:18" x14ac:dyDescent="0.2">
      <c r="A11" s="41">
        <v>44965</v>
      </c>
      <c r="B11" s="16" t="s">
        <v>66</v>
      </c>
      <c r="C11" s="80"/>
      <c r="D11" s="80"/>
      <c r="E11" s="44"/>
      <c r="F11" s="44"/>
      <c r="G11" s="72"/>
      <c r="H11" s="72"/>
      <c r="I11" s="72">
        <v>36</v>
      </c>
      <c r="J11" s="73"/>
      <c r="K11" s="72"/>
      <c r="L11" s="93"/>
      <c r="M11" s="86"/>
      <c r="N11" s="55">
        <v>0</v>
      </c>
      <c r="O11" s="56"/>
      <c r="P11" s="55">
        <f t="shared" si="0"/>
        <v>36</v>
      </c>
      <c r="Q11" s="119" t="s">
        <v>93</v>
      </c>
      <c r="R11" s="120"/>
    </row>
    <row r="12" spans="1:18" x14ac:dyDescent="0.2">
      <c r="A12" s="41">
        <v>44966</v>
      </c>
      <c r="B12" s="16" t="s">
        <v>67</v>
      </c>
      <c r="C12" s="80" t="s">
        <v>92</v>
      </c>
      <c r="D12" s="80" t="s">
        <v>97</v>
      </c>
      <c r="E12" s="44"/>
      <c r="F12" s="44">
        <v>0.54166666666666663</v>
      </c>
      <c r="G12" s="72"/>
      <c r="H12" s="72">
        <v>20</v>
      </c>
      <c r="I12" s="72"/>
      <c r="J12" s="73"/>
      <c r="K12" s="72"/>
      <c r="L12" s="93"/>
      <c r="M12" s="86"/>
      <c r="N12" s="55">
        <v>0</v>
      </c>
      <c r="O12" s="56"/>
      <c r="P12" s="55">
        <f t="shared" si="0"/>
        <v>20</v>
      </c>
      <c r="Q12" s="119" t="s">
        <v>93</v>
      </c>
      <c r="R12" s="120"/>
    </row>
    <row r="13" spans="1:18" x14ac:dyDescent="0.2">
      <c r="A13" s="41"/>
      <c r="B13" s="16"/>
      <c r="C13" s="80"/>
      <c r="D13" s="80"/>
      <c r="E13" s="44"/>
      <c r="F13" s="44"/>
      <c r="G13" s="72"/>
      <c r="H13" s="72"/>
      <c r="I13" s="72"/>
      <c r="J13" s="73"/>
      <c r="K13" s="72"/>
      <c r="L13" s="93"/>
      <c r="M13" s="86"/>
      <c r="N13" s="55">
        <f t="shared" ref="N13:N21" si="1">K13*L13</f>
        <v>0</v>
      </c>
      <c r="O13" s="56"/>
      <c r="P13" s="55">
        <f t="shared" ref="P13:P21" si="2">SUM(G13:J13,N13:O13)</f>
        <v>0</v>
      </c>
      <c r="Q13" s="119"/>
      <c r="R13" s="120"/>
    </row>
    <row r="14" spans="1:18" x14ac:dyDescent="0.2">
      <c r="A14" s="41"/>
      <c r="B14" s="16"/>
      <c r="C14" s="80"/>
      <c r="D14" s="80"/>
      <c r="E14" s="44"/>
      <c r="F14" s="44"/>
      <c r="G14" s="72"/>
      <c r="H14" s="72"/>
      <c r="I14" s="72"/>
      <c r="J14" s="73"/>
      <c r="K14" s="72"/>
      <c r="L14" s="93"/>
      <c r="M14" s="86"/>
      <c r="N14" s="55">
        <f t="shared" si="1"/>
        <v>0</v>
      </c>
      <c r="O14" s="56"/>
      <c r="P14" s="55">
        <f t="shared" si="2"/>
        <v>0</v>
      </c>
      <c r="Q14" s="119"/>
      <c r="R14" s="120"/>
    </row>
    <row r="15" spans="1:18" x14ac:dyDescent="0.2">
      <c r="A15" s="41"/>
      <c r="B15" s="16"/>
      <c r="C15" s="80"/>
      <c r="D15" s="80"/>
      <c r="E15" s="44"/>
      <c r="F15" s="44"/>
      <c r="G15" s="72"/>
      <c r="H15" s="72"/>
      <c r="I15" s="72"/>
      <c r="J15" s="73"/>
      <c r="K15" s="72"/>
      <c r="L15" s="93"/>
      <c r="M15" s="86"/>
      <c r="N15" s="55">
        <f t="shared" si="1"/>
        <v>0</v>
      </c>
      <c r="O15" s="56"/>
      <c r="P15" s="55">
        <f t="shared" si="2"/>
        <v>0</v>
      </c>
      <c r="Q15" s="119"/>
      <c r="R15" s="120"/>
    </row>
    <row r="16" spans="1:18" x14ac:dyDescent="0.2">
      <c r="A16" s="41"/>
      <c r="B16" s="16"/>
      <c r="C16" s="80"/>
      <c r="D16" s="80"/>
      <c r="E16" s="44"/>
      <c r="F16" s="44"/>
      <c r="G16" s="72"/>
      <c r="H16" s="72"/>
      <c r="I16" s="72"/>
      <c r="J16" s="73"/>
      <c r="K16" s="72"/>
      <c r="L16" s="93"/>
      <c r="M16" s="86"/>
      <c r="N16" s="55">
        <f t="shared" si="1"/>
        <v>0</v>
      </c>
      <c r="O16" s="56"/>
      <c r="P16" s="55">
        <f t="shared" si="2"/>
        <v>0</v>
      </c>
      <c r="Q16" s="119"/>
      <c r="R16" s="120"/>
    </row>
    <row r="17" spans="1:18" x14ac:dyDescent="0.2">
      <c r="A17" s="41"/>
      <c r="B17" s="16"/>
      <c r="C17" s="80"/>
      <c r="D17" s="80"/>
      <c r="E17" s="44"/>
      <c r="F17" s="44"/>
      <c r="G17" s="72"/>
      <c r="H17" s="72"/>
      <c r="I17" s="72"/>
      <c r="J17" s="73"/>
      <c r="K17" s="72"/>
      <c r="L17" s="93"/>
      <c r="M17" s="86"/>
      <c r="N17" s="55">
        <f t="shared" si="1"/>
        <v>0</v>
      </c>
      <c r="O17" s="56"/>
      <c r="P17" s="55">
        <f t="shared" si="2"/>
        <v>0</v>
      </c>
      <c r="Q17" s="119"/>
      <c r="R17" s="120"/>
    </row>
    <row r="18" spans="1:18" x14ac:dyDescent="0.2">
      <c r="A18" s="41"/>
      <c r="B18" s="16"/>
      <c r="C18" s="80"/>
      <c r="D18" s="80"/>
      <c r="E18" s="44"/>
      <c r="F18" s="44"/>
      <c r="G18" s="72"/>
      <c r="H18" s="72"/>
      <c r="I18" s="72"/>
      <c r="J18" s="73"/>
      <c r="K18" s="72"/>
      <c r="L18" s="93"/>
      <c r="M18" s="86"/>
      <c r="N18" s="55">
        <f t="shared" si="1"/>
        <v>0</v>
      </c>
      <c r="O18" s="56"/>
      <c r="P18" s="55">
        <f t="shared" si="2"/>
        <v>0</v>
      </c>
      <c r="Q18" s="119"/>
      <c r="R18" s="120"/>
    </row>
    <row r="19" spans="1:18" x14ac:dyDescent="0.2">
      <c r="A19" s="41"/>
      <c r="B19" s="16"/>
      <c r="C19" s="80"/>
      <c r="D19" s="80"/>
      <c r="E19" s="44"/>
      <c r="F19" s="44"/>
      <c r="G19" s="72"/>
      <c r="H19" s="72"/>
      <c r="I19" s="72"/>
      <c r="J19" s="73"/>
      <c r="K19" s="72"/>
      <c r="L19" s="93"/>
      <c r="M19" s="86"/>
      <c r="N19" s="55">
        <f t="shared" si="1"/>
        <v>0</v>
      </c>
      <c r="O19" s="56"/>
      <c r="P19" s="55">
        <f t="shared" si="2"/>
        <v>0</v>
      </c>
      <c r="Q19" s="119"/>
      <c r="R19" s="120"/>
    </row>
    <row r="20" spans="1:18" x14ac:dyDescent="0.2">
      <c r="A20" s="41"/>
      <c r="B20" s="16"/>
      <c r="C20" s="80"/>
      <c r="D20" s="80"/>
      <c r="E20" s="44"/>
      <c r="F20" s="44"/>
      <c r="G20" s="72"/>
      <c r="H20" s="72"/>
      <c r="I20" s="72"/>
      <c r="J20" s="73"/>
      <c r="K20" s="72"/>
      <c r="L20" s="93"/>
      <c r="M20" s="86"/>
      <c r="N20" s="55">
        <f t="shared" si="1"/>
        <v>0</v>
      </c>
      <c r="O20" s="56"/>
      <c r="P20" s="55">
        <f t="shared" si="2"/>
        <v>0</v>
      </c>
      <c r="Q20" s="119"/>
      <c r="R20" s="120"/>
    </row>
    <row r="21" spans="1:18" x14ac:dyDescent="0.2">
      <c r="A21" s="42"/>
      <c r="B21" s="17"/>
      <c r="C21" s="81"/>
      <c r="D21" s="81"/>
      <c r="E21" s="45"/>
      <c r="F21" s="45"/>
      <c r="G21" s="74"/>
      <c r="H21" s="74"/>
      <c r="I21" s="74"/>
      <c r="J21" s="75"/>
      <c r="K21" s="74"/>
      <c r="L21" s="94"/>
      <c r="M21" s="87"/>
      <c r="N21" s="57">
        <f t="shared" si="1"/>
        <v>0</v>
      </c>
      <c r="O21" s="58"/>
      <c r="P21" s="57">
        <f t="shared" si="2"/>
        <v>0</v>
      </c>
      <c r="Q21" s="250"/>
      <c r="R21" s="251"/>
    </row>
    <row r="22" spans="1:18" ht="12.6" customHeight="1" x14ac:dyDescent="0.2">
      <c r="A22" s="229" t="s">
        <v>33</v>
      </c>
      <c r="B22" s="230"/>
      <c r="C22" s="230"/>
      <c r="D22" s="230"/>
      <c r="E22" s="227" t="s">
        <v>30</v>
      </c>
      <c r="F22" s="228"/>
      <c r="G22" s="236">
        <f>SUM(G10:I21)</f>
        <v>112</v>
      </c>
      <c r="H22" s="237"/>
      <c r="I22" s="238"/>
      <c r="J22" s="52">
        <f>SUM(J10:J21)</f>
        <v>0</v>
      </c>
      <c r="K22" s="229" t="s">
        <v>34</v>
      </c>
      <c r="L22" s="230"/>
      <c r="M22" s="235"/>
      <c r="N22" s="59">
        <f>SUM(N10:N21)</f>
        <v>0</v>
      </c>
      <c r="O22" s="59">
        <f>SUM(O10:O21)</f>
        <v>0</v>
      </c>
      <c r="P22" s="59">
        <f>SUM(P10:P21)</f>
        <v>112</v>
      </c>
      <c r="Q22" s="106" t="s">
        <v>30</v>
      </c>
      <c r="R22" s="108"/>
    </row>
    <row r="23" spans="1:18" ht="10.5" customHeight="1" x14ac:dyDescent="0.2">
      <c r="A23" s="231" t="s">
        <v>85</v>
      </c>
      <c r="B23" s="232"/>
      <c r="C23" s="232"/>
      <c r="D23" s="232"/>
      <c r="E23" s="153" t="s">
        <v>31</v>
      </c>
      <c r="F23" s="154"/>
      <c r="G23" s="243">
        <f>G84</f>
        <v>0</v>
      </c>
      <c r="H23" s="244"/>
      <c r="I23" s="245"/>
      <c r="J23" s="123">
        <f>J84</f>
        <v>0</v>
      </c>
      <c r="K23" s="165" t="s">
        <v>35</v>
      </c>
      <c r="L23" s="153"/>
      <c r="M23" s="154"/>
      <c r="N23" s="125">
        <f>N84</f>
        <v>0</v>
      </c>
      <c r="O23" s="125">
        <f>O84</f>
        <v>0</v>
      </c>
      <c r="P23" s="125">
        <f>P84</f>
        <v>0</v>
      </c>
      <c r="Q23" s="231" t="s">
        <v>31</v>
      </c>
      <c r="R23" s="239"/>
    </row>
    <row r="24" spans="1:18" ht="10.5" customHeight="1" x14ac:dyDescent="0.2">
      <c r="A24" s="231" t="s">
        <v>84</v>
      </c>
      <c r="B24" s="232"/>
      <c r="C24" s="232"/>
      <c r="D24" s="232"/>
      <c r="E24" s="153"/>
      <c r="F24" s="154"/>
      <c r="G24" s="246"/>
      <c r="H24" s="247"/>
      <c r="I24" s="248"/>
      <c r="J24" s="124"/>
      <c r="K24" s="165" t="s">
        <v>77</v>
      </c>
      <c r="L24" s="153"/>
      <c r="M24" s="154"/>
      <c r="N24" s="126"/>
      <c r="O24" s="126"/>
      <c r="P24" s="126"/>
      <c r="Q24" s="231"/>
      <c r="R24" s="239"/>
    </row>
    <row r="25" spans="1:18" ht="10.5" customHeight="1" x14ac:dyDescent="0.2">
      <c r="A25" s="231" t="s">
        <v>86</v>
      </c>
      <c r="B25" s="232"/>
      <c r="C25" s="232"/>
      <c r="D25" s="232"/>
      <c r="E25" s="217" t="s">
        <v>32</v>
      </c>
      <c r="F25" s="218"/>
      <c r="G25" s="241">
        <f>SUM(G22:I24)</f>
        <v>112</v>
      </c>
      <c r="H25" s="241"/>
      <c r="I25" s="241"/>
      <c r="J25" s="123">
        <f>SUM(J22:J24)</f>
        <v>0</v>
      </c>
      <c r="K25" s="153" t="s">
        <v>36</v>
      </c>
      <c r="L25" s="153"/>
      <c r="M25" s="153"/>
      <c r="N25" s="125">
        <f>SUM(N22:N24)</f>
        <v>0</v>
      </c>
      <c r="O25" s="125">
        <f>SUM(O22:O24)</f>
        <v>0</v>
      </c>
      <c r="P25" s="125">
        <f>SUM(P22:P24)</f>
        <v>112</v>
      </c>
      <c r="Q25" s="231" t="s">
        <v>32</v>
      </c>
      <c r="R25" s="239"/>
    </row>
    <row r="26" spans="1:18" ht="10.5" customHeight="1" x14ac:dyDescent="0.2">
      <c r="A26" s="233" t="s">
        <v>87</v>
      </c>
      <c r="B26" s="234"/>
      <c r="C26" s="234"/>
      <c r="D26" s="234"/>
      <c r="E26" s="219"/>
      <c r="F26" s="220"/>
      <c r="G26" s="242"/>
      <c r="H26" s="242"/>
      <c r="I26" s="242"/>
      <c r="J26" s="124"/>
      <c r="K26" s="163" t="s">
        <v>73</v>
      </c>
      <c r="L26" s="163"/>
      <c r="M26" s="163"/>
      <c r="N26" s="126"/>
      <c r="O26" s="126"/>
      <c r="P26" s="126"/>
      <c r="Q26" s="233"/>
      <c r="R26" s="240"/>
    </row>
    <row r="27" spans="1:18" ht="12" customHeight="1" x14ac:dyDescent="0.2">
      <c r="A27" s="100" t="s">
        <v>37</v>
      </c>
      <c r="B27" s="101"/>
      <c r="C27" s="101"/>
      <c r="D27" s="102"/>
      <c r="E27" s="100" t="s">
        <v>78</v>
      </c>
      <c r="F27" s="101"/>
      <c r="G27" s="101"/>
      <c r="H27" s="101"/>
      <c r="I27" s="101"/>
      <c r="J27" s="102"/>
      <c r="K27" s="258" t="s">
        <v>72</v>
      </c>
      <c r="L27" s="259"/>
      <c r="M27" s="262"/>
      <c r="N27" s="252" t="s">
        <v>38</v>
      </c>
      <c r="O27" s="252"/>
      <c r="P27" s="254">
        <f>P25-M27</f>
        <v>112</v>
      </c>
      <c r="Q27" s="254"/>
      <c r="R27" s="255"/>
    </row>
    <row r="28" spans="1:18" ht="12" customHeight="1" x14ac:dyDescent="0.2">
      <c r="A28" s="103">
        <v>44966</v>
      </c>
      <c r="B28" s="104"/>
      <c r="C28" s="104"/>
      <c r="D28" s="105"/>
      <c r="E28" s="137" t="s">
        <v>94</v>
      </c>
      <c r="F28" s="138"/>
      <c r="G28" s="138"/>
      <c r="H28" s="138"/>
      <c r="I28" s="138"/>
      <c r="J28" s="139"/>
      <c r="K28" s="260"/>
      <c r="L28" s="261"/>
      <c r="M28" s="263"/>
      <c r="N28" s="253"/>
      <c r="O28" s="253"/>
      <c r="P28" s="256"/>
      <c r="Q28" s="256"/>
      <c r="R28" s="257"/>
    </row>
    <row r="29" spans="1:18" x14ac:dyDescent="0.2">
      <c r="A29" s="191" t="s">
        <v>39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3"/>
    </row>
    <row r="30" spans="1:18" x14ac:dyDescent="0.2">
      <c r="A30" s="221" t="s">
        <v>100</v>
      </c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3"/>
    </row>
    <row r="31" spans="1:18" ht="7.5" customHeight="1" x14ac:dyDescent="0.2">
      <c r="A31" s="221"/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3"/>
    </row>
    <row r="32" spans="1:18" x14ac:dyDescent="0.2">
      <c r="A32" s="224"/>
      <c r="B32" s="225"/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6"/>
    </row>
    <row r="33" spans="1:18" ht="12.75" x14ac:dyDescent="0.2">
      <c r="A33" s="216" t="s">
        <v>50</v>
      </c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 t="s">
        <v>51</v>
      </c>
      <c r="M33" s="216"/>
      <c r="N33" s="216"/>
      <c r="O33" s="216"/>
      <c r="P33" s="216"/>
      <c r="Q33" s="216"/>
      <c r="R33" s="216"/>
    </row>
    <row r="34" spans="1:18" x14ac:dyDescent="0.2">
      <c r="A34" s="4" t="s">
        <v>74</v>
      </c>
      <c r="B34" s="4" t="s">
        <v>75</v>
      </c>
      <c r="C34" s="4" t="s">
        <v>40</v>
      </c>
      <c r="D34" s="4" t="s">
        <v>41</v>
      </c>
      <c r="E34" s="4" t="s">
        <v>42</v>
      </c>
      <c r="F34" s="4" t="s">
        <v>43</v>
      </c>
      <c r="G34" s="164" t="s">
        <v>44</v>
      </c>
      <c r="H34" s="164"/>
      <c r="I34" s="164"/>
      <c r="J34" s="4" t="s">
        <v>45</v>
      </c>
      <c r="K34" s="4" t="s">
        <v>46</v>
      </c>
      <c r="L34" s="4" t="s">
        <v>47</v>
      </c>
      <c r="M34" s="4" t="s">
        <v>48</v>
      </c>
      <c r="N34" s="164" t="s">
        <v>49</v>
      </c>
      <c r="O34" s="164"/>
      <c r="P34" s="164"/>
      <c r="Q34" s="164" t="s">
        <v>46</v>
      </c>
      <c r="R34" s="164"/>
    </row>
    <row r="35" spans="1:18" x14ac:dyDescent="0.2">
      <c r="A35" s="27" t="s">
        <v>98</v>
      </c>
      <c r="B35" s="29">
        <v>1</v>
      </c>
      <c r="C35" s="35">
        <v>605</v>
      </c>
      <c r="D35" s="35" t="s">
        <v>99</v>
      </c>
      <c r="E35" s="31">
        <v>691010</v>
      </c>
      <c r="F35" s="31"/>
      <c r="G35" s="144"/>
      <c r="H35" s="144"/>
      <c r="I35" s="144"/>
      <c r="J35" s="37"/>
      <c r="K35" s="38">
        <v>148</v>
      </c>
      <c r="L35" s="47"/>
      <c r="M35" s="19"/>
      <c r="N35" s="162"/>
      <c r="O35" s="162"/>
      <c r="P35" s="162"/>
      <c r="Q35" s="142"/>
      <c r="R35" s="143"/>
    </row>
    <row r="36" spans="1:18" x14ac:dyDescent="0.2">
      <c r="A36" s="27"/>
      <c r="B36" s="29"/>
      <c r="C36" s="26"/>
      <c r="D36" s="35"/>
      <c r="E36" s="31"/>
      <c r="F36" s="31"/>
      <c r="G36" s="144"/>
      <c r="H36" s="144"/>
      <c r="I36" s="144"/>
      <c r="J36" s="37"/>
      <c r="K36" s="34"/>
      <c r="L36" s="48"/>
      <c r="M36" s="20"/>
      <c r="N36" s="161"/>
      <c r="O36" s="161"/>
      <c r="P36" s="161"/>
      <c r="Q36" s="140"/>
      <c r="R36" s="141"/>
    </row>
    <row r="37" spans="1:18" x14ac:dyDescent="0.2">
      <c r="A37" s="27"/>
      <c r="B37" s="29"/>
      <c r="C37" s="26"/>
      <c r="D37" s="35"/>
      <c r="E37" s="31"/>
      <c r="F37" s="31"/>
      <c r="G37" s="144"/>
      <c r="H37" s="144"/>
      <c r="I37" s="144"/>
      <c r="J37" s="37"/>
      <c r="K37" s="34"/>
      <c r="L37" s="48"/>
      <c r="M37" s="20"/>
      <c r="N37" s="161"/>
      <c r="O37" s="161"/>
      <c r="P37" s="161"/>
      <c r="Q37" s="140"/>
      <c r="R37" s="141"/>
    </row>
    <row r="38" spans="1:18" x14ac:dyDescent="0.2">
      <c r="A38" s="27"/>
      <c r="B38" s="29"/>
      <c r="C38" s="26"/>
      <c r="D38" s="35"/>
      <c r="E38" s="31"/>
      <c r="F38" s="31"/>
      <c r="G38" s="144"/>
      <c r="H38" s="144"/>
      <c r="I38" s="144"/>
      <c r="J38" s="37"/>
      <c r="K38" s="34"/>
      <c r="L38" s="48"/>
      <c r="M38" s="20"/>
      <c r="N38" s="161"/>
      <c r="O38" s="161"/>
      <c r="P38" s="161"/>
      <c r="Q38" s="140"/>
      <c r="R38" s="141"/>
    </row>
    <row r="39" spans="1:18" x14ac:dyDescent="0.2">
      <c r="A39" s="27"/>
      <c r="B39" s="29"/>
      <c r="C39" s="26"/>
      <c r="D39" s="35"/>
      <c r="E39" s="31"/>
      <c r="F39" s="31"/>
      <c r="G39" s="144"/>
      <c r="H39" s="144"/>
      <c r="I39" s="144"/>
      <c r="J39" s="37"/>
      <c r="K39" s="34"/>
      <c r="L39" s="48"/>
      <c r="M39" s="20"/>
      <c r="N39" s="161"/>
      <c r="O39" s="161"/>
      <c r="P39" s="161"/>
      <c r="Q39" s="140"/>
      <c r="R39" s="141"/>
    </row>
    <row r="40" spans="1:18" x14ac:dyDescent="0.2">
      <c r="A40" s="28"/>
      <c r="B40" s="30"/>
      <c r="C40" s="39"/>
      <c r="D40" s="39"/>
      <c r="E40" s="32"/>
      <c r="F40" s="32"/>
      <c r="G40" s="145"/>
      <c r="H40" s="145"/>
      <c r="I40" s="145"/>
      <c r="J40" s="33"/>
      <c r="K40" s="22">
        <f>M27</f>
        <v>0</v>
      </c>
      <c r="L40" s="49"/>
      <c r="M40" s="21"/>
      <c r="N40" s="146"/>
      <c r="O40" s="146"/>
      <c r="P40" s="146"/>
      <c r="Q40" s="155"/>
      <c r="R40" s="156"/>
    </row>
    <row r="41" spans="1:18" ht="13.5" customHeight="1" x14ac:dyDescent="0.25">
      <c r="A41" s="214" t="s">
        <v>16</v>
      </c>
      <c r="B41" s="214"/>
      <c r="C41" s="214"/>
      <c r="D41" s="214"/>
      <c r="E41" s="214"/>
      <c r="F41" s="214"/>
      <c r="G41" s="215"/>
      <c r="H41" s="215"/>
      <c r="I41" s="215"/>
      <c r="J41" s="215"/>
      <c r="K41" s="50">
        <f>SUM(K35:K39)-K40</f>
        <v>148</v>
      </c>
      <c r="L41" s="215" t="s">
        <v>16</v>
      </c>
      <c r="M41" s="215"/>
      <c r="N41" s="215"/>
      <c r="O41" s="215"/>
      <c r="P41" s="215"/>
      <c r="Q41" s="249">
        <f>SUM(Q35:R40)</f>
        <v>0</v>
      </c>
      <c r="R41" s="249"/>
    </row>
    <row r="42" spans="1:18" ht="18.600000000000001" customHeight="1" x14ac:dyDescent="0.2">
      <c r="A42" s="178" t="s">
        <v>52</v>
      </c>
      <c r="B42" s="179"/>
      <c r="C42" s="179"/>
      <c r="D42" s="179"/>
      <c r="E42" s="179"/>
      <c r="F42" s="180"/>
      <c r="G42" s="169" t="s">
        <v>53</v>
      </c>
      <c r="H42" s="170"/>
      <c r="I42" s="170"/>
      <c r="J42" s="170"/>
      <c r="K42" s="170"/>
      <c r="L42" s="170"/>
      <c r="M42" s="170"/>
      <c r="N42" s="171"/>
      <c r="O42" s="191" t="s">
        <v>54</v>
      </c>
      <c r="P42" s="192"/>
      <c r="Q42" s="192"/>
      <c r="R42" s="193"/>
    </row>
    <row r="43" spans="1:18" ht="15" customHeight="1" x14ac:dyDescent="0.2">
      <c r="A43" s="181"/>
      <c r="B43" s="182"/>
      <c r="C43" s="182"/>
      <c r="D43" s="182"/>
      <c r="E43" s="182"/>
      <c r="F43" s="183"/>
      <c r="G43" s="172"/>
      <c r="H43" s="173"/>
      <c r="I43" s="173"/>
      <c r="J43" s="173"/>
      <c r="K43" s="173"/>
      <c r="L43" s="173"/>
      <c r="M43" s="173"/>
      <c r="N43" s="174"/>
      <c r="O43" s="187"/>
      <c r="P43" s="188"/>
      <c r="Q43" s="188"/>
      <c r="R43" s="194"/>
    </row>
    <row r="44" spans="1:18" ht="17.25" customHeight="1" x14ac:dyDescent="0.2">
      <c r="A44" s="184" t="s">
        <v>83</v>
      </c>
      <c r="B44" s="185"/>
      <c r="C44" s="185"/>
      <c r="D44" s="185"/>
      <c r="E44" s="185" t="s">
        <v>101</v>
      </c>
      <c r="F44" s="186"/>
      <c r="G44" s="175" t="s">
        <v>81</v>
      </c>
      <c r="H44" s="176"/>
      <c r="I44" s="176"/>
      <c r="J44" s="176"/>
      <c r="K44" s="176"/>
      <c r="L44" s="176"/>
      <c r="M44" s="176" t="s">
        <v>82</v>
      </c>
      <c r="N44" s="177"/>
      <c r="O44" s="192" t="s">
        <v>58</v>
      </c>
      <c r="P44" s="192"/>
      <c r="Q44" s="192"/>
      <c r="R44" s="99" t="s">
        <v>47</v>
      </c>
    </row>
    <row r="45" spans="1:18" ht="19.5" customHeight="1" x14ac:dyDescent="0.2">
      <c r="A45" s="137"/>
      <c r="B45" s="138"/>
      <c r="C45" s="138"/>
      <c r="D45" s="138"/>
      <c r="E45" s="138"/>
      <c r="F45" s="139"/>
      <c r="G45" s="166"/>
      <c r="H45" s="167"/>
      <c r="I45" s="167"/>
      <c r="J45" s="167"/>
      <c r="K45" s="167"/>
      <c r="L45" s="167"/>
      <c r="M45" s="167"/>
      <c r="N45" s="168"/>
      <c r="O45" s="187"/>
      <c r="P45" s="188"/>
      <c r="Q45" s="188"/>
      <c r="R45" s="98"/>
    </row>
    <row r="46" spans="1:18" ht="9.75" customHeight="1" x14ac:dyDescent="0.2">
      <c r="A46" s="8"/>
      <c r="B46" s="8"/>
      <c r="C46" s="8"/>
      <c r="D46" s="8"/>
      <c r="E46" s="8"/>
      <c r="F46" s="3"/>
      <c r="G46" s="9"/>
      <c r="H46" s="9"/>
      <c r="I46" s="9"/>
      <c r="J46" s="9"/>
      <c r="K46" s="9"/>
      <c r="L46" s="11"/>
      <c r="M46" s="9"/>
      <c r="N46" s="8"/>
      <c r="O46" s="8"/>
      <c r="P46" s="8"/>
      <c r="Q46" s="8"/>
      <c r="R46" s="3"/>
    </row>
    <row r="47" spans="1:18" ht="13.5" customHeight="1" x14ac:dyDescent="0.2">
      <c r="A47" s="106" t="s">
        <v>23</v>
      </c>
      <c r="B47" s="107"/>
      <c r="C47" s="107"/>
      <c r="D47" s="107"/>
      <c r="E47" s="107"/>
      <c r="F47" s="108"/>
      <c r="G47" s="106" t="s">
        <v>55</v>
      </c>
      <c r="H47" s="107"/>
      <c r="I47" s="107"/>
      <c r="J47" s="107"/>
      <c r="K47" s="107"/>
      <c r="L47" s="108"/>
      <c r="M47" s="106" t="s">
        <v>56</v>
      </c>
      <c r="N47" s="107"/>
      <c r="O47" s="107"/>
      <c r="P47" s="107"/>
      <c r="Q47" s="107"/>
      <c r="R47" s="108"/>
    </row>
    <row r="48" spans="1:18" ht="12" customHeight="1" x14ac:dyDescent="0.2">
      <c r="A48" s="116"/>
      <c r="B48" s="117"/>
      <c r="C48" s="117"/>
      <c r="D48" s="117"/>
      <c r="E48" s="117"/>
      <c r="F48" s="118"/>
      <c r="G48" s="116"/>
      <c r="H48" s="117"/>
      <c r="I48" s="117"/>
      <c r="J48" s="117"/>
      <c r="K48" s="117"/>
      <c r="L48" s="118"/>
      <c r="M48" s="116"/>
      <c r="N48" s="117"/>
      <c r="O48" s="117"/>
      <c r="P48" s="117"/>
      <c r="Q48" s="117"/>
      <c r="R48" s="118"/>
    </row>
    <row r="49" spans="1:18" ht="12.75" customHeight="1" x14ac:dyDescent="0.2">
      <c r="A49" s="189" t="s">
        <v>1</v>
      </c>
      <c r="B49" s="189" t="s">
        <v>2</v>
      </c>
      <c r="C49" s="157" t="s">
        <v>20</v>
      </c>
      <c r="D49" s="158"/>
      <c r="E49" s="157" t="s">
        <v>19</v>
      </c>
      <c r="F49" s="158"/>
      <c r="G49" s="157" t="s">
        <v>18</v>
      </c>
      <c r="H49" s="159"/>
      <c r="I49" s="160"/>
      <c r="J49" s="131" t="s">
        <v>10</v>
      </c>
      <c r="K49" s="131" t="s">
        <v>11</v>
      </c>
      <c r="L49" s="129" t="s">
        <v>12</v>
      </c>
      <c r="M49" s="131" t="s">
        <v>13</v>
      </c>
      <c r="N49" s="131" t="s">
        <v>14</v>
      </c>
      <c r="O49" s="129" t="s">
        <v>15</v>
      </c>
      <c r="P49" s="131" t="s">
        <v>16</v>
      </c>
      <c r="Q49" s="133" t="s">
        <v>17</v>
      </c>
      <c r="R49" s="134"/>
    </row>
    <row r="50" spans="1:18" ht="27" customHeight="1" x14ac:dyDescent="0.2">
      <c r="A50" s="190"/>
      <c r="B50" s="190"/>
      <c r="C50" s="13" t="s">
        <v>3</v>
      </c>
      <c r="D50" s="4" t="s">
        <v>4</v>
      </c>
      <c r="E50" s="13" t="s">
        <v>5</v>
      </c>
      <c r="F50" s="4" t="s">
        <v>6</v>
      </c>
      <c r="G50" s="14" t="s">
        <v>7</v>
      </c>
      <c r="H50" s="14" t="s">
        <v>8</v>
      </c>
      <c r="I50" s="14" t="s">
        <v>9</v>
      </c>
      <c r="J50" s="132"/>
      <c r="K50" s="132"/>
      <c r="L50" s="130"/>
      <c r="M50" s="132"/>
      <c r="N50" s="132"/>
      <c r="O50" s="130"/>
      <c r="P50" s="132"/>
      <c r="Q50" s="135"/>
      <c r="R50" s="136"/>
    </row>
    <row r="51" spans="1:18" x14ac:dyDescent="0.2">
      <c r="A51" s="51"/>
      <c r="B51" s="23"/>
      <c r="C51" s="82"/>
      <c r="D51" s="82"/>
      <c r="E51" s="76"/>
      <c r="F51" s="76"/>
      <c r="G51" s="67"/>
      <c r="H51" s="67"/>
      <c r="I51" s="67"/>
      <c r="J51" s="61"/>
      <c r="K51" s="67"/>
      <c r="L51" s="95"/>
      <c r="M51" s="88"/>
      <c r="N51" s="60">
        <f>K51*L51</f>
        <v>0</v>
      </c>
      <c r="O51" s="61"/>
      <c r="P51" s="60">
        <f>SUM(G51:J51,N51:O51)</f>
        <v>0</v>
      </c>
      <c r="Q51" s="147"/>
      <c r="R51" s="148"/>
    </row>
    <row r="52" spans="1:18" x14ac:dyDescent="0.2">
      <c r="A52" s="51"/>
      <c r="B52" s="24"/>
      <c r="C52" s="83"/>
      <c r="D52" s="83"/>
      <c r="E52" s="77"/>
      <c r="F52" s="77"/>
      <c r="G52" s="68"/>
      <c r="H52" s="68"/>
      <c r="I52" s="68"/>
      <c r="J52" s="63"/>
      <c r="K52" s="68"/>
      <c r="L52" s="96"/>
      <c r="M52" s="89"/>
      <c r="N52" s="62">
        <f t="shared" ref="N52:N83" si="3">K52*L52</f>
        <v>0</v>
      </c>
      <c r="O52" s="63"/>
      <c r="P52" s="62">
        <f t="shared" ref="P52:P83" si="4">SUM(G52:J52,N52:O52)</f>
        <v>0</v>
      </c>
      <c r="Q52" s="127"/>
      <c r="R52" s="128"/>
    </row>
    <row r="53" spans="1:18" x14ac:dyDescent="0.2">
      <c r="A53" s="51"/>
      <c r="B53" s="24"/>
      <c r="C53" s="83"/>
      <c r="D53" s="83"/>
      <c r="E53" s="77"/>
      <c r="F53" s="77"/>
      <c r="G53" s="68"/>
      <c r="H53" s="68"/>
      <c r="I53" s="68"/>
      <c r="J53" s="63"/>
      <c r="K53" s="68"/>
      <c r="L53" s="96"/>
      <c r="M53" s="89"/>
      <c r="N53" s="62">
        <f t="shared" si="3"/>
        <v>0</v>
      </c>
      <c r="O53" s="63"/>
      <c r="P53" s="62">
        <f t="shared" si="4"/>
        <v>0</v>
      </c>
      <c r="Q53" s="127"/>
      <c r="R53" s="128"/>
    </row>
    <row r="54" spans="1:18" x14ac:dyDescent="0.2">
      <c r="A54" s="51"/>
      <c r="B54" s="24"/>
      <c r="C54" s="83"/>
      <c r="D54" s="83"/>
      <c r="E54" s="77"/>
      <c r="F54" s="77"/>
      <c r="G54" s="68"/>
      <c r="H54" s="68"/>
      <c r="I54" s="68"/>
      <c r="J54" s="63"/>
      <c r="K54" s="68"/>
      <c r="L54" s="96"/>
      <c r="M54" s="89"/>
      <c r="N54" s="62">
        <f t="shared" si="3"/>
        <v>0</v>
      </c>
      <c r="O54" s="63"/>
      <c r="P54" s="62">
        <f t="shared" si="4"/>
        <v>0</v>
      </c>
      <c r="Q54" s="127"/>
      <c r="R54" s="128"/>
    </row>
    <row r="55" spans="1:18" x14ac:dyDescent="0.2">
      <c r="A55" s="51"/>
      <c r="B55" s="24"/>
      <c r="C55" s="83"/>
      <c r="D55" s="83"/>
      <c r="E55" s="77"/>
      <c r="F55" s="77"/>
      <c r="G55" s="68"/>
      <c r="H55" s="68"/>
      <c r="I55" s="68"/>
      <c r="J55" s="63"/>
      <c r="K55" s="68"/>
      <c r="L55" s="96"/>
      <c r="M55" s="89"/>
      <c r="N55" s="62">
        <f t="shared" si="3"/>
        <v>0</v>
      </c>
      <c r="O55" s="63"/>
      <c r="P55" s="62">
        <f t="shared" si="4"/>
        <v>0</v>
      </c>
      <c r="Q55" s="127"/>
      <c r="R55" s="128"/>
    </row>
    <row r="56" spans="1:18" x14ac:dyDescent="0.2">
      <c r="A56" s="51"/>
      <c r="B56" s="24"/>
      <c r="C56" s="83"/>
      <c r="D56" s="83"/>
      <c r="E56" s="77"/>
      <c r="F56" s="77"/>
      <c r="G56" s="68"/>
      <c r="H56" s="68"/>
      <c r="I56" s="68"/>
      <c r="J56" s="63"/>
      <c r="K56" s="68"/>
      <c r="L56" s="96"/>
      <c r="M56" s="89"/>
      <c r="N56" s="62">
        <f t="shared" si="3"/>
        <v>0</v>
      </c>
      <c r="O56" s="63"/>
      <c r="P56" s="62">
        <f t="shared" si="4"/>
        <v>0</v>
      </c>
      <c r="Q56" s="127"/>
      <c r="R56" s="128"/>
    </row>
    <row r="57" spans="1:18" x14ac:dyDescent="0.2">
      <c r="A57" s="51"/>
      <c r="B57" s="24"/>
      <c r="C57" s="83"/>
      <c r="D57" s="83"/>
      <c r="E57" s="77"/>
      <c r="F57" s="77"/>
      <c r="G57" s="68"/>
      <c r="H57" s="68"/>
      <c r="I57" s="68"/>
      <c r="J57" s="63"/>
      <c r="K57" s="68"/>
      <c r="L57" s="96"/>
      <c r="M57" s="89"/>
      <c r="N57" s="62">
        <f t="shared" si="3"/>
        <v>0</v>
      </c>
      <c r="O57" s="63"/>
      <c r="P57" s="62">
        <f t="shared" si="4"/>
        <v>0</v>
      </c>
      <c r="Q57" s="127"/>
      <c r="R57" s="128"/>
    </row>
    <row r="58" spans="1:18" x14ac:dyDescent="0.2">
      <c r="A58" s="51"/>
      <c r="B58" s="24"/>
      <c r="C58" s="83"/>
      <c r="D58" s="83"/>
      <c r="E58" s="77"/>
      <c r="F58" s="77"/>
      <c r="G58" s="68"/>
      <c r="H58" s="68"/>
      <c r="I58" s="68"/>
      <c r="J58" s="63"/>
      <c r="K58" s="68"/>
      <c r="L58" s="96"/>
      <c r="M58" s="89"/>
      <c r="N58" s="62">
        <f t="shared" si="3"/>
        <v>0</v>
      </c>
      <c r="O58" s="63"/>
      <c r="P58" s="62">
        <f t="shared" si="4"/>
        <v>0</v>
      </c>
      <c r="Q58" s="127"/>
      <c r="R58" s="128"/>
    </row>
    <row r="59" spans="1:18" x14ac:dyDescent="0.2">
      <c r="A59" s="51"/>
      <c r="B59" s="24"/>
      <c r="C59" s="83"/>
      <c r="D59" s="83"/>
      <c r="E59" s="77"/>
      <c r="F59" s="77"/>
      <c r="G59" s="68"/>
      <c r="H59" s="68"/>
      <c r="I59" s="68"/>
      <c r="J59" s="63"/>
      <c r="K59" s="68"/>
      <c r="L59" s="96"/>
      <c r="M59" s="89"/>
      <c r="N59" s="62">
        <f t="shared" si="3"/>
        <v>0</v>
      </c>
      <c r="O59" s="63"/>
      <c r="P59" s="62">
        <f t="shared" si="4"/>
        <v>0</v>
      </c>
      <c r="Q59" s="127"/>
      <c r="R59" s="128"/>
    </row>
    <row r="60" spans="1:18" x14ac:dyDescent="0.2">
      <c r="A60" s="51"/>
      <c r="B60" s="24"/>
      <c r="C60" s="83"/>
      <c r="D60" s="83"/>
      <c r="E60" s="77"/>
      <c r="F60" s="77"/>
      <c r="G60" s="68"/>
      <c r="H60" s="68"/>
      <c r="I60" s="68"/>
      <c r="J60" s="63"/>
      <c r="K60" s="68"/>
      <c r="L60" s="96"/>
      <c r="M60" s="89"/>
      <c r="N60" s="62">
        <f t="shared" si="3"/>
        <v>0</v>
      </c>
      <c r="O60" s="63"/>
      <c r="P60" s="62">
        <f t="shared" si="4"/>
        <v>0</v>
      </c>
      <c r="Q60" s="127"/>
      <c r="R60" s="128"/>
    </row>
    <row r="61" spans="1:18" x14ac:dyDescent="0.2">
      <c r="A61" s="51"/>
      <c r="B61" s="24"/>
      <c r="C61" s="83"/>
      <c r="D61" s="83"/>
      <c r="E61" s="77"/>
      <c r="F61" s="77"/>
      <c r="G61" s="68"/>
      <c r="H61" s="68"/>
      <c r="I61" s="68"/>
      <c r="J61" s="63"/>
      <c r="K61" s="68"/>
      <c r="L61" s="96"/>
      <c r="M61" s="89"/>
      <c r="N61" s="62">
        <f t="shared" si="3"/>
        <v>0</v>
      </c>
      <c r="O61" s="63"/>
      <c r="P61" s="62">
        <f t="shared" si="4"/>
        <v>0</v>
      </c>
      <c r="Q61" s="127"/>
      <c r="R61" s="128"/>
    </row>
    <row r="62" spans="1:18" x14ac:dyDescent="0.2">
      <c r="A62" s="51"/>
      <c r="B62" s="24"/>
      <c r="C62" s="83"/>
      <c r="D62" s="83"/>
      <c r="E62" s="77"/>
      <c r="F62" s="77"/>
      <c r="G62" s="68"/>
      <c r="H62" s="68"/>
      <c r="I62" s="68"/>
      <c r="J62" s="63"/>
      <c r="K62" s="68"/>
      <c r="L62" s="96"/>
      <c r="M62" s="89"/>
      <c r="N62" s="62">
        <f t="shared" si="3"/>
        <v>0</v>
      </c>
      <c r="O62" s="63"/>
      <c r="P62" s="62">
        <f t="shared" si="4"/>
        <v>0</v>
      </c>
      <c r="Q62" s="127"/>
      <c r="R62" s="128"/>
    </row>
    <row r="63" spans="1:18" x14ac:dyDescent="0.2">
      <c r="A63" s="51"/>
      <c r="B63" s="24"/>
      <c r="C63" s="83"/>
      <c r="D63" s="83"/>
      <c r="E63" s="77"/>
      <c r="F63" s="77"/>
      <c r="G63" s="68"/>
      <c r="H63" s="68"/>
      <c r="I63" s="68"/>
      <c r="J63" s="63"/>
      <c r="K63" s="68"/>
      <c r="L63" s="96"/>
      <c r="M63" s="89"/>
      <c r="N63" s="62">
        <f t="shared" si="3"/>
        <v>0</v>
      </c>
      <c r="O63" s="63"/>
      <c r="P63" s="62">
        <f t="shared" si="4"/>
        <v>0</v>
      </c>
      <c r="Q63" s="127"/>
      <c r="R63" s="128"/>
    </row>
    <row r="64" spans="1:18" x14ac:dyDescent="0.2">
      <c r="A64" s="51"/>
      <c r="B64" s="24"/>
      <c r="C64" s="83"/>
      <c r="D64" s="83"/>
      <c r="E64" s="77"/>
      <c r="F64" s="77"/>
      <c r="G64" s="68"/>
      <c r="H64" s="68"/>
      <c r="I64" s="68"/>
      <c r="J64" s="63"/>
      <c r="K64" s="68"/>
      <c r="L64" s="96"/>
      <c r="M64" s="89"/>
      <c r="N64" s="62">
        <f t="shared" si="3"/>
        <v>0</v>
      </c>
      <c r="O64" s="63"/>
      <c r="P64" s="62">
        <f t="shared" si="4"/>
        <v>0</v>
      </c>
      <c r="Q64" s="127"/>
      <c r="R64" s="128"/>
    </row>
    <row r="65" spans="1:18" x14ac:dyDescent="0.2">
      <c r="A65" s="51"/>
      <c r="B65" s="24"/>
      <c r="C65" s="83"/>
      <c r="D65" s="83"/>
      <c r="E65" s="77"/>
      <c r="F65" s="77"/>
      <c r="G65" s="68"/>
      <c r="H65" s="68"/>
      <c r="I65" s="68"/>
      <c r="J65" s="63"/>
      <c r="K65" s="68"/>
      <c r="L65" s="96"/>
      <c r="M65" s="89"/>
      <c r="N65" s="62">
        <f t="shared" si="3"/>
        <v>0</v>
      </c>
      <c r="O65" s="63"/>
      <c r="P65" s="62">
        <f t="shared" si="4"/>
        <v>0</v>
      </c>
      <c r="Q65" s="127"/>
      <c r="R65" s="128"/>
    </row>
    <row r="66" spans="1:18" x14ac:dyDescent="0.2">
      <c r="A66" s="51"/>
      <c r="B66" s="24"/>
      <c r="C66" s="83"/>
      <c r="D66" s="83"/>
      <c r="E66" s="77"/>
      <c r="F66" s="77"/>
      <c r="G66" s="68"/>
      <c r="H66" s="68"/>
      <c r="I66" s="68"/>
      <c r="J66" s="63"/>
      <c r="K66" s="68"/>
      <c r="L66" s="96"/>
      <c r="M66" s="89"/>
      <c r="N66" s="62">
        <f t="shared" si="3"/>
        <v>0</v>
      </c>
      <c r="O66" s="63"/>
      <c r="P66" s="62">
        <f t="shared" si="4"/>
        <v>0</v>
      </c>
      <c r="Q66" s="127"/>
      <c r="R66" s="128"/>
    </row>
    <row r="67" spans="1:18" x14ac:dyDescent="0.2">
      <c r="A67" s="51"/>
      <c r="B67" s="24"/>
      <c r="C67" s="83"/>
      <c r="D67" s="83"/>
      <c r="E67" s="77"/>
      <c r="F67" s="77"/>
      <c r="G67" s="68"/>
      <c r="H67" s="68"/>
      <c r="I67" s="68"/>
      <c r="J67" s="63"/>
      <c r="K67" s="68"/>
      <c r="L67" s="96"/>
      <c r="M67" s="89"/>
      <c r="N67" s="62">
        <f t="shared" si="3"/>
        <v>0</v>
      </c>
      <c r="O67" s="63"/>
      <c r="P67" s="62">
        <f t="shared" si="4"/>
        <v>0</v>
      </c>
      <c r="Q67" s="127"/>
      <c r="R67" s="128"/>
    </row>
    <row r="68" spans="1:18" x14ac:dyDescent="0.2">
      <c r="A68" s="51"/>
      <c r="B68" s="24"/>
      <c r="C68" s="83"/>
      <c r="D68" s="83"/>
      <c r="E68" s="77"/>
      <c r="F68" s="77"/>
      <c r="G68" s="68"/>
      <c r="H68" s="68"/>
      <c r="I68" s="68"/>
      <c r="J68" s="63"/>
      <c r="K68" s="68"/>
      <c r="L68" s="96"/>
      <c r="M68" s="89"/>
      <c r="N68" s="62">
        <f t="shared" si="3"/>
        <v>0</v>
      </c>
      <c r="O68" s="63"/>
      <c r="P68" s="62">
        <f t="shared" si="4"/>
        <v>0</v>
      </c>
      <c r="Q68" s="127"/>
      <c r="R68" s="128"/>
    </row>
    <row r="69" spans="1:18" x14ac:dyDescent="0.2">
      <c r="A69" s="51"/>
      <c r="B69" s="24"/>
      <c r="C69" s="83"/>
      <c r="D69" s="83"/>
      <c r="E69" s="77"/>
      <c r="F69" s="77"/>
      <c r="G69" s="68"/>
      <c r="H69" s="68"/>
      <c r="I69" s="68"/>
      <c r="J69" s="63"/>
      <c r="K69" s="68"/>
      <c r="L69" s="96"/>
      <c r="M69" s="89"/>
      <c r="N69" s="62">
        <f t="shared" si="3"/>
        <v>0</v>
      </c>
      <c r="O69" s="63"/>
      <c r="P69" s="62">
        <f t="shared" si="4"/>
        <v>0</v>
      </c>
      <c r="Q69" s="127"/>
      <c r="R69" s="128"/>
    </row>
    <row r="70" spans="1:18" x14ac:dyDescent="0.2">
      <c r="A70" s="51"/>
      <c r="B70" s="24"/>
      <c r="C70" s="83"/>
      <c r="D70" s="83"/>
      <c r="E70" s="77"/>
      <c r="F70" s="77"/>
      <c r="G70" s="68"/>
      <c r="H70" s="68"/>
      <c r="I70" s="68"/>
      <c r="J70" s="63"/>
      <c r="K70" s="68"/>
      <c r="L70" s="96"/>
      <c r="M70" s="89"/>
      <c r="N70" s="62">
        <f t="shared" si="3"/>
        <v>0</v>
      </c>
      <c r="O70" s="63"/>
      <c r="P70" s="62">
        <f t="shared" si="4"/>
        <v>0</v>
      </c>
      <c r="Q70" s="127"/>
      <c r="R70" s="128"/>
    </row>
    <row r="71" spans="1:18" x14ac:dyDescent="0.2">
      <c r="A71" s="51"/>
      <c r="B71" s="24"/>
      <c r="C71" s="83"/>
      <c r="D71" s="83"/>
      <c r="E71" s="77"/>
      <c r="F71" s="77"/>
      <c r="G71" s="68"/>
      <c r="H71" s="68"/>
      <c r="I71" s="68"/>
      <c r="J71" s="63"/>
      <c r="K71" s="68"/>
      <c r="L71" s="96"/>
      <c r="M71" s="89"/>
      <c r="N71" s="62">
        <f t="shared" si="3"/>
        <v>0</v>
      </c>
      <c r="O71" s="63"/>
      <c r="P71" s="62">
        <f t="shared" si="4"/>
        <v>0</v>
      </c>
      <c r="Q71" s="127"/>
      <c r="R71" s="128"/>
    </row>
    <row r="72" spans="1:18" x14ac:dyDescent="0.2">
      <c r="A72" s="51"/>
      <c r="B72" s="24"/>
      <c r="C72" s="83"/>
      <c r="D72" s="83"/>
      <c r="E72" s="77"/>
      <c r="F72" s="77"/>
      <c r="G72" s="68"/>
      <c r="H72" s="68"/>
      <c r="I72" s="68"/>
      <c r="J72" s="63"/>
      <c r="K72" s="68"/>
      <c r="L72" s="96"/>
      <c r="M72" s="89"/>
      <c r="N72" s="62">
        <f t="shared" si="3"/>
        <v>0</v>
      </c>
      <c r="O72" s="63"/>
      <c r="P72" s="62">
        <f t="shared" si="4"/>
        <v>0</v>
      </c>
      <c r="Q72" s="127"/>
      <c r="R72" s="128"/>
    </row>
    <row r="73" spans="1:18" x14ac:dyDescent="0.2">
      <c r="A73" s="51"/>
      <c r="B73" s="24"/>
      <c r="C73" s="83"/>
      <c r="D73" s="83"/>
      <c r="E73" s="77"/>
      <c r="F73" s="77"/>
      <c r="G73" s="68"/>
      <c r="H73" s="68"/>
      <c r="I73" s="68"/>
      <c r="J73" s="63"/>
      <c r="K73" s="68"/>
      <c r="L73" s="96"/>
      <c r="M73" s="89"/>
      <c r="N73" s="62">
        <f t="shared" si="3"/>
        <v>0</v>
      </c>
      <c r="O73" s="63"/>
      <c r="P73" s="62">
        <f t="shared" si="4"/>
        <v>0</v>
      </c>
      <c r="Q73" s="127"/>
      <c r="R73" s="128"/>
    </row>
    <row r="74" spans="1:18" x14ac:dyDescent="0.2">
      <c r="A74" s="51"/>
      <c r="B74" s="24"/>
      <c r="C74" s="83"/>
      <c r="D74" s="83"/>
      <c r="E74" s="77"/>
      <c r="F74" s="77"/>
      <c r="G74" s="68"/>
      <c r="H74" s="68"/>
      <c r="I74" s="68"/>
      <c r="J74" s="63"/>
      <c r="K74" s="68"/>
      <c r="L74" s="96"/>
      <c r="M74" s="89"/>
      <c r="N74" s="62">
        <f t="shared" si="3"/>
        <v>0</v>
      </c>
      <c r="O74" s="63"/>
      <c r="P74" s="62">
        <f t="shared" si="4"/>
        <v>0</v>
      </c>
      <c r="Q74" s="127"/>
      <c r="R74" s="128"/>
    </row>
    <row r="75" spans="1:18" x14ac:dyDescent="0.2">
      <c r="A75" s="51"/>
      <c r="B75" s="24"/>
      <c r="C75" s="83"/>
      <c r="D75" s="83"/>
      <c r="E75" s="77"/>
      <c r="F75" s="77"/>
      <c r="G75" s="68"/>
      <c r="H75" s="68"/>
      <c r="I75" s="68"/>
      <c r="J75" s="63"/>
      <c r="K75" s="68"/>
      <c r="L75" s="96"/>
      <c r="M75" s="89"/>
      <c r="N75" s="62">
        <f t="shared" si="3"/>
        <v>0</v>
      </c>
      <c r="O75" s="63"/>
      <c r="P75" s="62">
        <f t="shared" si="4"/>
        <v>0</v>
      </c>
      <c r="Q75" s="127"/>
      <c r="R75" s="128"/>
    </row>
    <row r="76" spans="1:18" x14ac:dyDescent="0.2">
      <c r="A76" s="51"/>
      <c r="B76" s="24"/>
      <c r="C76" s="83"/>
      <c r="D76" s="83"/>
      <c r="E76" s="77"/>
      <c r="F76" s="77"/>
      <c r="G76" s="68"/>
      <c r="H76" s="68"/>
      <c r="I76" s="68"/>
      <c r="J76" s="63"/>
      <c r="K76" s="68"/>
      <c r="L76" s="96"/>
      <c r="M76" s="89"/>
      <c r="N76" s="62">
        <f t="shared" si="3"/>
        <v>0</v>
      </c>
      <c r="O76" s="63"/>
      <c r="P76" s="62">
        <f t="shared" si="4"/>
        <v>0</v>
      </c>
      <c r="Q76" s="127"/>
      <c r="R76" s="128"/>
    </row>
    <row r="77" spans="1:18" x14ac:dyDescent="0.2">
      <c r="A77" s="51"/>
      <c r="B77" s="24"/>
      <c r="C77" s="83"/>
      <c r="D77" s="83"/>
      <c r="E77" s="77"/>
      <c r="F77" s="77"/>
      <c r="G77" s="68"/>
      <c r="H77" s="68"/>
      <c r="I77" s="68"/>
      <c r="J77" s="63"/>
      <c r="K77" s="68"/>
      <c r="L77" s="96"/>
      <c r="M77" s="89"/>
      <c r="N77" s="62">
        <f t="shared" si="3"/>
        <v>0</v>
      </c>
      <c r="O77" s="63"/>
      <c r="P77" s="62">
        <f t="shared" si="4"/>
        <v>0</v>
      </c>
      <c r="Q77" s="127"/>
      <c r="R77" s="128"/>
    </row>
    <row r="78" spans="1:18" x14ac:dyDescent="0.2">
      <c r="A78" s="51"/>
      <c r="B78" s="24"/>
      <c r="C78" s="83"/>
      <c r="D78" s="83"/>
      <c r="E78" s="77"/>
      <c r="F78" s="77"/>
      <c r="G78" s="68"/>
      <c r="H78" s="68"/>
      <c r="I78" s="68"/>
      <c r="J78" s="63"/>
      <c r="K78" s="68"/>
      <c r="L78" s="96"/>
      <c r="M78" s="89"/>
      <c r="N78" s="62">
        <f t="shared" si="3"/>
        <v>0</v>
      </c>
      <c r="O78" s="63"/>
      <c r="P78" s="62">
        <f t="shared" si="4"/>
        <v>0</v>
      </c>
      <c r="Q78" s="127"/>
      <c r="R78" s="128"/>
    </row>
    <row r="79" spans="1:18" x14ac:dyDescent="0.2">
      <c r="A79" s="51"/>
      <c r="B79" s="24"/>
      <c r="C79" s="83"/>
      <c r="D79" s="83"/>
      <c r="E79" s="77"/>
      <c r="F79" s="77"/>
      <c r="G79" s="68"/>
      <c r="H79" s="68"/>
      <c r="I79" s="68"/>
      <c r="J79" s="63"/>
      <c r="K79" s="68"/>
      <c r="L79" s="96"/>
      <c r="M79" s="89"/>
      <c r="N79" s="62">
        <f t="shared" si="3"/>
        <v>0</v>
      </c>
      <c r="O79" s="63"/>
      <c r="P79" s="62">
        <f t="shared" si="4"/>
        <v>0</v>
      </c>
      <c r="Q79" s="127"/>
      <c r="R79" s="128"/>
    </row>
    <row r="80" spans="1:18" x14ac:dyDescent="0.2">
      <c r="A80" s="51"/>
      <c r="B80" s="24"/>
      <c r="C80" s="83"/>
      <c r="D80" s="83"/>
      <c r="E80" s="77"/>
      <c r="F80" s="77"/>
      <c r="G80" s="68"/>
      <c r="H80" s="68"/>
      <c r="I80" s="68"/>
      <c r="J80" s="63"/>
      <c r="K80" s="68"/>
      <c r="L80" s="96"/>
      <c r="M80" s="89"/>
      <c r="N80" s="62">
        <f t="shared" si="3"/>
        <v>0</v>
      </c>
      <c r="O80" s="63"/>
      <c r="P80" s="62">
        <f t="shared" si="4"/>
        <v>0</v>
      </c>
      <c r="Q80" s="127"/>
      <c r="R80" s="128"/>
    </row>
    <row r="81" spans="1:18" x14ac:dyDescent="0.2">
      <c r="A81" s="51"/>
      <c r="B81" s="24"/>
      <c r="C81" s="83"/>
      <c r="D81" s="83"/>
      <c r="E81" s="77"/>
      <c r="F81" s="77"/>
      <c r="G81" s="68"/>
      <c r="H81" s="68"/>
      <c r="I81" s="68"/>
      <c r="J81" s="63"/>
      <c r="K81" s="68"/>
      <c r="L81" s="96"/>
      <c r="M81" s="89"/>
      <c r="N81" s="62">
        <f t="shared" si="3"/>
        <v>0</v>
      </c>
      <c r="O81" s="63"/>
      <c r="P81" s="62">
        <f t="shared" si="4"/>
        <v>0</v>
      </c>
      <c r="Q81" s="127"/>
      <c r="R81" s="128"/>
    </row>
    <row r="82" spans="1:18" x14ac:dyDescent="0.2">
      <c r="A82" s="51"/>
      <c r="B82" s="24"/>
      <c r="C82" s="83"/>
      <c r="D82" s="83"/>
      <c r="E82" s="77"/>
      <c r="F82" s="77"/>
      <c r="G82" s="68"/>
      <c r="H82" s="68"/>
      <c r="I82" s="68"/>
      <c r="J82" s="63"/>
      <c r="K82" s="68"/>
      <c r="L82" s="96"/>
      <c r="M82" s="89"/>
      <c r="N82" s="62">
        <f t="shared" si="3"/>
        <v>0</v>
      </c>
      <c r="O82" s="63"/>
      <c r="P82" s="62">
        <f t="shared" si="4"/>
        <v>0</v>
      </c>
      <c r="Q82" s="127"/>
      <c r="R82" s="128"/>
    </row>
    <row r="83" spans="1:18" x14ac:dyDescent="0.2">
      <c r="A83" s="51"/>
      <c r="B83" s="25"/>
      <c r="C83" s="84"/>
      <c r="D83" s="84"/>
      <c r="E83" s="78"/>
      <c r="F83" s="78"/>
      <c r="G83" s="69"/>
      <c r="H83" s="69"/>
      <c r="I83" s="69"/>
      <c r="J83" s="65"/>
      <c r="K83" s="69"/>
      <c r="L83" s="97"/>
      <c r="M83" s="90"/>
      <c r="N83" s="64">
        <f t="shared" si="3"/>
        <v>0</v>
      </c>
      <c r="O83" s="65"/>
      <c r="P83" s="64">
        <f t="shared" si="4"/>
        <v>0</v>
      </c>
      <c r="Q83" s="207"/>
      <c r="R83" s="208"/>
    </row>
    <row r="84" spans="1:18" ht="15" x14ac:dyDescent="0.25">
      <c r="A84" s="195" t="s">
        <v>57</v>
      </c>
      <c r="B84" s="196"/>
      <c r="C84" s="196"/>
      <c r="D84" s="196"/>
      <c r="E84" s="196"/>
      <c r="F84" s="197"/>
      <c r="G84" s="211">
        <f>SUM(G51:I83)</f>
        <v>0</v>
      </c>
      <c r="H84" s="212"/>
      <c r="I84" s="213"/>
      <c r="J84" s="66">
        <f>SUM(J51:J83)</f>
        <v>0</v>
      </c>
      <c r="K84" s="36"/>
      <c r="L84" s="8"/>
      <c r="M84" s="12"/>
      <c r="N84" s="66">
        <f>SUM(N51:N83)</f>
        <v>0</v>
      </c>
      <c r="O84" s="66">
        <f>SUM(O51:O83)</f>
        <v>0</v>
      </c>
      <c r="P84" s="66">
        <f>SUM(P51:P83)</f>
        <v>0</v>
      </c>
      <c r="Q84" s="209"/>
      <c r="R84" s="210"/>
    </row>
    <row r="85" spans="1:18" x14ac:dyDescent="0.2">
      <c r="A85" s="198" t="s">
        <v>39</v>
      </c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200"/>
    </row>
    <row r="86" spans="1:18" x14ac:dyDescent="0.2">
      <c r="A86" s="201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3"/>
    </row>
    <row r="87" spans="1:18" x14ac:dyDescent="0.2">
      <c r="A87" s="201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3"/>
    </row>
    <row r="88" spans="1:18" x14ac:dyDescent="0.2">
      <c r="A88" s="201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3"/>
    </row>
    <row r="89" spans="1:18" x14ac:dyDescent="0.2">
      <c r="A89" s="201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3"/>
    </row>
    <row r="90" spans="1:18" x14ac:dyDescent="0.2">
      <c r="A90" s="204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6"/>
    </row>
    <row r="91" spans="1:18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</sheetData>
  <mergeCells count="175">
    <mergeCell ref="G23:I24"/>
    <mergeCell ref="Q41:R41"/>
    <mergeCell ref="L41:P41"/>
    <mergeCell ref="Q15:R15"/>
    <mergeCell ref="Q16:R16"/>
    <mergeCell ref="Q17:R17"/>
    <mergeCell ref="Q18:R18"/>
    <mergeCell ref="Q19:R19"/>
    <mergeCell ref="Q20:R20"/>
    <mergeCell ref="Q21:R21"/>
    <mergeCell ref="N27:O28"/>
    <mergeCell ref="P27:R28"/>
    <mergeCell ref="K27:L28"/>
    <mergeCell ref="M27:M28"/>
    <mergeCell ref="G84:I84"/>
    <mergeCell ref="A41:J41"/>
    <mergeCell ref="A33:K33"/>
    <mergeCell ref="L33:R33"/>
    <mergeCell ref="E25:F26"/>
    <mergeCell ref="A29:R29"/>
    <mergeCell ref="A30:R32"/>
    <mergeCell ref="E22:F22"/>
    <mergeCell ref="A22:D22"/>
    <mergeCell ref="A23:D23"/>
    <mergeCell ref="A24:D24"/>
    <mergeCell ref="N34:P34"/>
    <mergeCell ref="Q34:R34"/>
    <mergeCell ref="O23:O24"/>
    <mergeCell ref="P23:P24"/>
    <mergeCell ref="A25:D25"/>
    <mergeCell ref="A26:D26"/>
    <mergeCell ref="K22:M22"/>
    <mergeCell ref="Q22:R22"/>
    <mergeCell ref="G22:I22"/>
    <mergeCell ref="Q25:R26"/>
    <mergeCell ref="Q23:R24"/>
    <mergeCell ref="G25:I26"/>
    <mergeCell ref="J25:J26"/>
    <mergeCell ref="Q59:R59"/>
    <mergeCell ref="A84:F84"/>
    <mergeCell ref="A85:R85"/>
    <mergeCell ref="A86:R90"/>
    <mergeCell ref="Q65:R65"/>
    <mergeCell ref="Q66:R66"/>
    <mergeCell ref="Q67:R67"/>
    <mergeCell ref="Q78:R78"/>
    <mergeCell ref="Q79:R79"/>
    <mergeCell ref="Q80:R80"/>
    <mergeCell ref="Q81:R81"/>
    <mergeCell ref="Q82:R82"/>
    <mergeCell ref="Q83:R83"/>
    <mergeCell ref="Q68:R68"/>
    <mergeCell ref="Q84:R84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A45:D45"/>
    <mergeCell ref="E45:F45"/>
    <mergeCell ref="M45:N45"/>
    <mergeCell ref="Q60:R60"/>
    <mergeCell ref="A47:F47"/>
    <mergeCell ref="G47:L47"/>
    <mergeCell ref="M47:R47"/>
    <mergeCell ref="G42:N43"/>
    <mergeCell ref="G44:L44"/>
    <mergeCell ref="M44:N44"/>
    <mergeCell ref="A42:F43"/>
    <mergeCell ref="A44:D44"/>
    <mergeCell ref="E44:F44"/>
    <mergeCell ref="O45:Q45"/>
    <mergeCell ref="A48:F48"/>
    <mergeCell ref="A49:A50"/>
    <mergeCell ref="B49:B50"/>
    <mergeCell ref="C49:D49"/>
    <mergeCell ref="O42:R42"/>
    <mergeCell ref="O44:Q44"/>
    <mergeCell ref="O43:R43"/>
    <mergeCell ref="K49:K50"/>
    <mergeCell ref="L49:L50"/>
    <mergeCell ref="M49:M50"/>
    <mergeCell ref="E23:F24"/>
    <mergeCell ref="Q40:R40"/>
    <mergeCell ref="Q39:R39"/>
    <mergeCell ref="Q38:R38"/>
    <mergeCell ref="Q37:R37"/>
    <mergeCell ref="E49:F49"/>
    <mergeCell ref="G49:I49"/>
    <mergeCell ref="J49:J50"/>
    <mergeCell ref="N39:P39"/>
    <mergeCell ref="G35:I35"/>
    <mergeCell ref="G36:I36"/>
    <mergeCell ref="G37:I37"/>
    <mergeCell ref="G38:I38"/>
    <mergeCell ref="N38:P38"/>
    <mergeCell ref="N37:P37"/>
    <mergeCell ref="N36:P36"/>
    <mergeCell ref="N35:P35"/>
    <mergeCell ref="K25:M25"/>
    <mergeCell ref="K26:M26"/>
    <mergeCell ref="G34:I34"/>
    <mergeCell ref="K23:M23"/>
    <mergeCell ref="K24:M24"/>
    <mergeCell ref="G45:L45"/>
    <mergeCell ref="N49:N50"/>
    <mergeCell ref="E8:F8"/>
    <mergeCell ref="C8:D8"/>
    <mergeCell ref="A8:A9"/>
    <mergeCell ref="B8:B9"/>
    <mergeCell ref="O4:R4"/>
    <mergeCell ref="O5:R5"/>
    <mergeCell ref="O6:R6"/>
    <mergeCell ref="O7:R7"/>
    <mergeCell ref="M7:N7"/>
    <mergeCell ref="M6:N6"/>
    <mergeCell ref="J8:J9"/>
    <mergeCell ref="K8:K9"/>
    <mergeCell ref="L8:L9"/>
    <mergeCell ref="L4:N4"/>
    <mergeCell ref="L5:N5"/>
    <mergeCell ref="M8:M9"/>
    <mergeCell ref="A5:G5"/>
    <mergeCell ref="Q63:R63"/>
    <mergeCell ref="Q64:R64"/>
    <mergeCell ref="Q61:R61"/>
    <mergeCell ref="Q62:R62"/>
    <mergeCell ref="O49:O50"/>
    <mergeCell ref="P49:P50"/>
    <mergeCell ref="Q49:R50"/>
    <mergeCell ref="E27:J27"/>
    <mergeCell ref="E28:J28"/>
    <mergeCell ref="Q36:R36"/>
    <mergeCell ref="Q35:R35"/>
    <mergeCell ref="G39:I39"/>
    <mergeCell ref="G40:I40"/>
    <mergeCell ref="N40:P40"/>
    <mergeCell ref="G48:L48"/>
    <mergeCell ref="M48:R48"/>
    <mergeCell ref="Q51:R51"/>
    <mergeCell ref="Q52:R52"/>
    <mergeCell ref="Q53:R53"/>
    <mergeCell ref="Q54:R54"/>
    <mergeCell ref="Q55:R55"/>
    <mergeCell ref="Q56:R56"/>
    <mergeCell ref="Q57:R57"/>
    <mergeCell ref="Q58:R58"/>
    <mergeCell ref="A27:D27"/>
    <mergeCell ref="A28:D28"/>
    <mergeCell ref="A4:G4"/>
    <mergeCell ref="H5:K5"/>
    <mergeCell ref="H4:K4"/>
    <mergeCell ref="N8:N9"/>
    <mergeCell ref="O8:O9"/>
    <mergeCell ref="P8:P9"/>
    <mergeCell ref="Q8:R9"/>
    <mergeCell ref="A6:G6"/>
    <mergeCell ref="H6:K6"/>
    <mergeCell ref="H7:K7"/>
    <mergeCell ref="Q14:R14"/>
    <mergeCell ref="Q10:R10"/>
    <mergeCell ref="Q11:R11"/>
    <mergeCell ref="J23:J24"/>
    <mergeCell ref="N25:N26"/>
    <mergeCell ref="O25:O26"/>
    <mergeCell ref="P25:P26"/>
    <mergeCell ref="N23:N24"/>
    <mergeCell ref="Q12:R12"/>
    <mergeCell ref="Q13:R13"/>
    <mergeCell ref="A7:G7"/>
    <mergeCell ref="G8:I8"/>
  </mergeCells>
  <dataValidations count="2">
    <dataValidation type="textLength" allowBlank="1" showInputMessage="1" showErrorMessage="1" promptTitle="Employee Number" prompt="* digit number, if you enter less than 8 it will put leading zeros in front of the number entered" sqref="H5:K5" xr:uid="{00000000-0002-0000-0000-000000000000}">
      <formula1>0</formula1>
      <formula2>99999999</formula2>
    </dataValidation>
    <dataValidation allowBlank="1" showInputMessage="1" showErrorMessage="1" promptTitle="Zip Code" prompt="5 digit zip code" sqref="M7:N7" xr:uid="{00000000-0002-0000-0000-000001000000}"/>
  </dataValidations>
  <pageMargins left="0.27083333333333331" right="0.25" top="0.42613636363636365" bottom="0.75" header="0.3" footer="0.3"/>
  <pageSetup orientation="landscape" r:id="rId1"/>
  <headerFooter>
    <oddFooter xml:space="preserve">&amp;LDOT Form 133-103
Revised 01/2023&amp;RTravelers must submit TEV within 3 calendar months from the last day of the month the first travel expense is incurred.
</oddFooter>
  </headerFooter>
  <ignoredErrors>
    <ignoredError sqref="P51:P52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2000000}">
          <x14:formula1>
            <xm:f>'Mileage Rate'!$A$2:$A$5</xm:f>
          </x14:formula1>
          <xm:sqref>L51:L83 L10:L21</xm:sqref>
        </x14:dataValidation>
        <x14:dataValidation type="list" allowBlank="1" showInputMessage="1" showErrorMessage="1" xr:uid="{00000000-0002-0000-0000-000003000000}">
          <x14:formula1>
            <xm:f>'DropDowns KH'!$A$2:$A$9</xm:f>
          </x14:formula1>
          <xm:sqref>B10:B21 B51:B83</xm:sqref>
        </x14:dataValidation>
        <x14:dataValidation type="list" allowBlank="1" showInputMessage="1" showErrorMessage="1" xr:uid="{00000000-0002-0000-0000-000004000000}">
          <x14:formula1>
            <xm:f>'DropDowns KH'!$E$2:$E$6</xm:f>
          </x14:formula1>
          <xm:sqref>M10:M21 M51:M83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C8" sqref="C8"/>
    </sheetView>
  </sheetViews>
  <sheetFormatPr defaultRowHeight="12" x14ac:dyDescent="0.2"/>
  <sheetData>
    <row r="1" spans="1:1" x14ac:dyDescent="0.2">
      <c r="A1" t="s">
        <v>2</v>
      </c>
    </row>
    <row r="2" spans="1:1" x14ac:dyDescent="0.2">
      <c r="A2" t="s">
        <v>64</v>
      </c>
    </row>
    <row r="3" spans="1:1" x14ac:dyDescent="0.2">
      <c r="A3" t="s">
        <v>65</v>
      </c>
    </row>
    <row r="4" spans="1:1" x14ac:dyDescent="0.2">
      <c r="A4" t="s">
        <v>66</v>
      </c>
    </row>
    <row r="5" spans="1:1" x14ac:dyDescent="0.2">
      <c r="A5" t="s">
        <v>67</v>
      </c>
    </row>
    <row r="6" spans="1:1" x14ac:dyDescent="0.2">
      <c r="A6" t="s">
        <v>68</v>
      </c>
    </row>
    <row r="7" spans="1:1" x14ac:dyDescent="0.2">
      <c r="A7" t="s">
        <v>69</v>
      </c>
    </row>
    <row r="8" spans="1:1" x14ac:dyDescent="0.2">
      <c r="A8" t="s">
        <v>70</v>
      </c>
    </row>
  </sheetData>
  <sheetProtection algorithmName="SHA-512" hashValue="lHXhe9KHi0LakYae0IShAiYmT4EoBbRLIPjswRgzG0OSB0mUCkXplo4AWXPqjQSS7g+EOogI+F5helBDE2pM+g==" saltValue="Jgf5S3gNiZPXIkyoNgsvdQ==" spinCount="100000"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C5" sqref="C5"/>
    </sheetView>
  </sheetViews>
  <sheetFormatPr defaultRowHeight="12" x14ac:dyDescent="0.2"/>
  <cols>
    <col min="1" max="1" width="6.85546875" bestFit="1" customWidth="1"/>
  </cols>
  <sheetData>
    <row r="1" spans="1:1" x14ac:dyDescent="0.2">
      <c r="A1" t="s">
        <v>59</v>
      </c>
    </row>
    <row r="2" spans="1:1" x14ac:dyDescent="0.2">
      <c r="A2" s="91">
        <v>0.65500000000000003</v>
      </c>
    </row>
    <row r="3" spans="1:1" x14ac:dyDescent="0.2">
      <c r="A3" s="91">
        <v>0.22</v>
      </c>
    </row>
    <row r="4" spans="1:1" x14ac:dyDescent="0.2">
      <c r="A4" s="91">
        <v>0.63500000000000001</v>
      </c>
    </row>
    <row r="5" spans="1:1" x14ac:dyDescent="0.2">
      <c r="A5" s="91">
        <v>1.74</v>
      </c>
    </row>
  </sheetData>
  <sheetProtection algorithmName="SHA-512" hashValue="iTwxHwLaJIWU8NfdwQq7VDFEQYFvRIXbxOZ1amL8H2cOjQWAtLPD6TS5FEqpGyf96djrpmQWj+1rhGIzTzzFZQ==" saltValue="Ero9diGx0iqFWwNlDxrwxw==" spinCount="100000"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>
      <selection activeCell="A2" sqref="A2"/>
    </sheetView>
  </sheetViews>
  <sheetFormatPr defaultRowHeight="12" x14ac:dyDescent="0.2"/>
  <cols>
    <col min="1" max="1" width="30.85546875" bestFit="1" customWidth="1"/>
  </cols>
  <sheetData>
    <row r="1" spans="1:1" x14ac:dyDescent="0.2">
      <c r="A1" t="s">
        <v>13</v>
      </c>
    </row>
    <row r="2" spans="1:1" x14ac:dyDescent="0.2">
      <c r="A2" t="s">
        <v>60</v>
      </c>
    </row>
    <row r="3" spans="1:1" x14ac:dyDescent="0.2">
      <c r="A3" t="s">
        <v>61</v>
      </c>
    </row>
    <row r="4" spans="1:1" x14ac:dyDescent="0.2">
      <c r="A4" t="s">
        <v>62</v>
      </c>
    </row>
    <row r="5" spans="1:1" x14ac:dyDescent="0.2">
      <c r="A5" t="s">
        <v>63</v>
      </c>
    </row>
  </sheetData>
  <sheetProtection algorithmName="SHA-512" hashValue="CmpFBOPnfemlxG2D7AIfXdSLW/N9qG444K8AhGtWiVJ+vj1Ajovu2Dt9KaRhLKIZCQruxVYX48kG71kTcUFM7A==" saltValue="Z6Pa4Ou5bpzT6esFYaJ5RQ==" spinCount="100000"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E6" sqref="E6"/>
    </sheetView>
  </sheetViews>
  <sheetFormatPr defaultRowHeight="12" x14ac:dyDescent="0.2"/>
  <sheetData>
    <row r="1" spans="1:5" x14ac:dyDescent="0.2">
      <c r="A1" t="s">
        <v>2</v>
      </c>
      <c r="C1" t="s">
        <v>12</v>
      </c>
      <c r="E1" t="s">
        <v>71</v>
      </c>
    </row>
    <row r="3" spans="1:5" x14ac:dyDescent="0.2">
      <c r="A3" t="s">
        <v>64</v>
      </c>
      <c r="C3" s="10">
        <v>0.57999999999999996</v>
      </c>
      <c r="E3" t="s">
        <v>79</v>
      </c>
    </row>
    <row r="4" spans="1:5" x14ac:dyDescent="0.2">
      <c r="A4" t="s">
        <v>65</v>
      </c>
      <c r="C4" s="10">
        <v>0.2</v>
      </c>
      <c r="E4" t="s">
        <v>7</v>
      </c>
    </row>
    <row r="5" spans="1:5" x14ac:dyDescent="0.2">
      <c r="A5" t="s">
        <v>66</v>
      </c>
      <c r="C5" s="10">
        <v>0.55000000000000004</v>
      </c>
      <c r="E5" t="s">
        <v>80</v>
      </c>
    </row>
    <row r="6" spans="1:5" x14ac:dyDescent="0.2">
      <c r="A6" t="s">
        <v>67</v>
      </c>
      <c r="C6" s="10">
        <v>1.26</v>
      </c>
      <c r="E6" t="s">
        <v>9</v>
      </c>
    </row>
    <row r="7" spans="1:5" x14ac:dyDescent="0.2">
      <c r="A7" t="s">
        <v>68</v>
      </c>
    </row>
    <row r="8" spans="1:5" x14ac:dyDescent="0.2">
      <c r="A8" t="s">
        <v>69</v>
      </c>
    </row>
    <row r="9" spans="1:5" x14ac:dyDescent="0.2">
      <c r="A9" t="s">
        <v>70</v>
      </c>
    </row>
  </sheetData>
  <sheetProtection algorithmName="SHA-512" hashValue="HojlSpp6Ar+vDMkmWtPzQdxTn6C3zRJnxBAHyxaL9hcx5Ak3Who6IPmGZ6j1F2tyHAZ/cMMIH28mxa9ya67FDA==" saltValue="A0uGJlufEL8Ux+120gYXV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133-103</vt:lpstr>
      <vt:lpstr>Day</vt:lpstr>
      <vt:lpstr>Mileage Rate</vt:lpstr>
      <vt:lpstr>POV</vt:lpstr>
      <vt:lpstr>DropDowns KH</vt:lpstr>
    </vt:vector>
  </TitlesOfParts>
  <Company>WSDOT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Bains, Carli</dc:creator>
  <cp:lastModifiedBy>Ison, David</cp:lastModifiedBy>
  <cp:lastPrinted>2019-04-08T23:03:20Z</cp:lastPrinted>
  <dcterms:created xsi:type="dcterms:W3CDTF">2019-03-27T19:47:18Z</dcterms:created>
  <dcterms:modified xsi:type="dcterms:W3CDTF">2023-02-16T22:04:15Z</dcterms:modified>
</cp:coreProperties>
</file>